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5"/>
  <workbookPr showInkAnnotation="0" autoCompressPictures="0"/>
  <mc:AlternateContent xmlns:mc="http://schemas.openxmlformats.org/markup-compatibility/2006">
    <mc:Choice Requires="x15">
      <x15ac:absPath xmlns:x15ac="http://schemas.microsoft.com/office/spreadsheetml/2010/11/ac" url="/Users/aedwards/ae/Teach/2740/251201_A8_XULA/"/>
    </mc:Choice>
  </mc:AlternateContent>
  <xr:revisionPtr revIDLastSave="0" documentId="8_{A6E72999-2486-496C-8B18-BC156E7C2613}" xr6:coauthVersionLast="47" xr6:coauthVersionMax="47" xr10:uidLastSave="{00000000-0000-0000-0000-000000000000}"/>
  <bookViews>
    <workbookView xWindow="16220" yWindow="1060" windowWidth="28580" windowHeight="20940" tabRatio="500" xr2:uid="{00000000-000D-0000-FFFF-FFFF00000000}"/>
  </bookViews>
  <sheets>
    <sheet name="Volcanoes" sheetId="10" r:id="rId1"/>
    <sheet name="-Disclaimer-" sheetId="2" r:id="rId2"/>
  </sheets>
  <definedNames>
    <definedName name="_xlnm.Print_Area" localSheetId="0">Volcanoes!$B$1:$I$65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<sst xmlns="http://schemas.openxmlformats.org/spreadsheetml/2006/main" count="72" uniqueCount="49">
  <si>
    <t>Volcanoes Statement of Work</t>
  </si>
  <si>
    <t>Project Title</t>
  </si>
  <si>
    <t>Start Date</t>
  </si>
  <si>
    <t>Events</t>
  </si>
  <si>
    <t>Project Duration</t>
  </si>
  <si>
    <t>Project Development Team</t>
  </si>
  <si>
    <t>End Date</t>
  </si>
  <si>
    <t>in days</t>
  </si>
  <si>
    <t>Ausar (SWE), Ja'Nya (Lead), Jon (Designer), no Tester</t>
  </si>
  <si>
    <t>User Story #</t>
  </si>
  <si>
    <t>Status</t>
  </si>
  <si>
    <t>Use Cases</t>
  </si>
  <si>
    <r>
      <t>Duration (</t>
    </r>
    <r>
      <rPr>
        <b/>
        <sz val="10"/>
        <color rgb="FF001033"/>
        <rFont val="Century Gothic"/>
        <family val="1"/>
      </rPr>
      <t>in days)</t>
    </r>
  </si>
  <si>
    <t>Comments</t>
  </si>
  <si>
    <t>Ausar</t>
  </si>
  <si>
    <t>Not Started</t>
  </si>
  <si>
    <t>#31 Create Alert class</t>
  </si>
  <si>
    <t>Complete</t>
  </si>
  <si>
    <t>SHA 61e722a</t>
  </si>
  <si>
    <t>In Progress</t>
  </si>
  <si>
    <t>On Hold</t>
  </si>
  <si>
    <t>Nov 26th: 8 commits, +4906, -8</t>
  </si>
  <si>
    <t xml:space="preserve">Evaluate Dr. Edwards via Class Climate </t>
  </si>
  <si>
    <t>Evaluate team using Brightspace survey</t>
  </si>
  <si>
    <t>Ja'Nya</t>
  </si>
  <si>
    <r>
      <rPr>
        <sz val="11"/>
        <color rgb="FFFF0000"/>
        <rFont val="Century Gothic"/>
        <family val="1"/>
      </rPr>
      <t>#</t>
    </r>
    <r>
      <rPr>
        <sz val="11"/>
        <color theme="1"/>
        <rFont val="Century Gothic"/>
        <family val="1"/>
      </rPr>
      <t xml:space="preserve"> Update README with prioritized projects</t>
    </r>
  </si>
  <si>
    <t>SHA 1fc9902</t>
  </si>
  <si>
    <t>What is this use case's user story number?  If no user story, make sure you add this as a user story in our final sprint.</t>
  </si>
  <si>
    <t>User Story #2</t>
  </si>
  <si>
    <t>SHA 8325caa, 4d0650f, 86667ee, a62f2e5, 9bae98a</t>
  </si>
  <si>
    <t>User Story #32</t>
  </si>
  <si>
    <t>SHA 4b7384b, 1601710, 9c96ccc, 3f0d0c4, 763b2f6, 1a7dce3, acddb02, ae78e72, 194f939</t>
  </si>
  <si>
    <t>User Story #35</t>
  </si>
  <si>
    <t xml:space="preserve">a8e840c, d422f79, </t>
  </si>
  <si>
    <t>User Story #33</t>
  </si>
  <si>
    <t xml:space="preserve">62c36dd, aaeb490, ac06a4f, </t>
  </si>
  <si>
    <t>User Story #6</t>
  </si>
  <si>
    <t>bfa6b1f, 72bf603</t>
  </si>
  <si>
    <t>User Story #37</t>
  </si>
  <si>
    <t xml:space="preserve">d56cae5, 7a06c99, 22433d, 9451f75, b3484fa, 54a2ec7, </t>
  </si>
  <si>
    <t>Nov 26th: 28 commits, +393, -38</t>
  </si>
  <si>
    <t>Jon</t>
  </si>
  <si>
    <r>
      <rPr>
        <sz val="11"/>
        <color rgb="FFFF0000"/>
        <rFont val="Century Gothic"/>
        <family val="1"/>
      </rPr>
      <t xml:space="preserve"># </t>
    </r>
    <r>
      <rPr>
        <sz val="11"/>
        <color theme="1"/>
        <rFont val="Century Gothic"/>
        <family val="1"/>
      </rPr>
      <t>Create CPSC_event class</t>
    </r>
  </si>
  <si>
    <t>SHA 52b08c9</t>
  </si>
  <si>
    <t>You and Ja'Nya need to figure out why Ausar is listed as a contributor to our shared repo but you are not.  You can't earn points for this assignment unless you are a contributor.</t>
  </si>
  <si>
    <t>Vacant</t>
  </si>
  <si>
    <t>Nov 26th: 30 commits, +461, -122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</si>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</sst>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3"/>
      <color rgb="FF000000"/>
      <name val="Times New Roman"/>
      <family val="1"/>
      <charset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16">
                  <c:v>User Story #2</c:v>
                </c:pt>
                <c:pt idx="18">
                  <c:v>User Story #32</c:v>
                </c:pt>
                <c:pt idx="19">
                  <c:v>User Story #35</c:v>
                </c:pt>
                <c:pt idx="20">
                  <c:v>User Story #33</c:v>
                </c:pt>
                <c:pt idx="21">
                  <c:v>User Story #6</c:v>
                </c:pt>
                <c:pt idx="22">
                  <c:v>User Story #37</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Volcanoes!$F$8:$F$63</c:f>
              <c:numCache>
                <c:formatCode>m/d;@</c:formatCode>
                <c:ptCount val="56"/>
                <c:pt idx="0">
                  <c:v>45979</c:v>
                </c:pt>
                <c:pt idx="1">
                  <c:v>45979</c:v>
                </c:pt>
                <c:pt idx="12">
                  <c:v>45983</c:v>
                </c:pt>
                <c:pt idx="13">
                  <c:v>45992</c:v>
                </c:pt>
                <c:pt idx="14">
                  <c:v>45971</c:v>
                </c:pt>
                <c:pt idx="15">
                  <c:v>45971</c:v>
                </c:pt>
                <c:pt idx="26">
                  <c:v>45983</c:v>
                </c:pt>
                <c:pt idx="27">
                  <c:v>45992</c:v>
                </c:pt>
                <c:pt idx="28">
                  <c:v>45979</c:v>
                </c:pt>
                <c:pt idx="29">
                  <c:v>45979</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16">
                  <c:v>User Story #2</c:v>
                </c:pt>
                <c:pt idx="18">
                  <c:v>User Story #32</c:v>
                </c:pt>
                <c:pt idx="19">
                  <c:v>User Story #35</c:v>
                </c:pt>
                <c:pt idx="20">
                  <c:v>User Story #33</c:v>
                </c:pt>
                <c:pt idx="21">
                  <c:v>User Story #6</c:v>
                </c:pt>
                <c:pt idx="22">
                  <c:v>User Story #37</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Volcanoes!$H$8:$H$63</c:f>
              <c:numCache>
                <c:formatCode>0</c:formatCode>
                <c:ptCount val="56"/>
                <c:pt idx="0">
                  <c:v>21</c:v>
                </c:pt>
                <c:pt idx="1">
                  <c:v>1</c:v>
                </c:pt>
                <c:pt idx="12">
                  <c:v>17</c:v>
                </c:pt>
                <c:pt idx="13">
                  <c:v>1</c:v>
                </c:pt>
                <c:pt idx="14">
                  <c:v>29</c:v>
                </c:pt>
                <c:pt idx="15">
                  <c:v>1</c:v>
                </c:pt>
                <c:pt idx="26">
                  <c:v>17</c:v>
                </c:pt>
                <c:pt idx="27">
                  <c:v>1</c:v>
                </c:pt>
                <c:pt idx="28" formatCode="General">
                  <c:v>21</c:v>
                </c:pt>
                <c:pt idx="29">
                  <c:v>1</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139700</xdr:colOff>
      <xdr:row>12</xdr:row>
      <xdr:rowOff>114300</xdr:rowOff>
    </xdr:from>
    <xdr:to>
      <xdr:col>18</xdr:col>
      <xdr:colOff>812800</xdr:colOff>
      <xdr:row>17</xdr:row>
      <xdr:rowOff>152400</xdr:rowOff>
    </xdr:to>
    <xdr:pic>
      <xdr:nvPicPr>
        <xdr:cNvPr id="7" name="Picture 6">
          <a:extLst>
            <a:ext uri="{FF2B5EF4-FFF2-40B4-BE49-F238E27FC236}">
              <a16:creationId xmlns:a16="http://schemas.microsoft.com/office/drawing/2014/main" id="{B5DF30D1-D73B-4D92-9CEB-7BAB02447D42}"/>
            </a:ext>
          </a:extLst>
        </xdr:cNvPr>
        <xdr:cNvPicPr>
          <a:picLocks noChangeAspect="1"/>
        </xdr:cNvPicPr>
      </xdr:nvPicPr>
      <xdr:blipFill>
        <a:blip xmlns:r="http://schemas.openxmlformats.org/officeDocument/2006/relationships" r:embed="rId2"/>
        <a:stretch>
          <a:fillRect/>
        </a:stretch>
      </xdr:blipFill>
      <xdr:spPr>
        <a:xfrm>
          <a:off x="15544800" y="4127500"/>
          <a:ext cx="7620000" cy="1625600"/>
        </a:xfrm>
        <a:prstGeom prst="rect">
          <a:avLst/>
        </a:prstGeom>
      </xdr:spPr>
    </xdr:pic>
    <xdr:clientData/>
  </xdr:twoCellAnchor>
  <xdr:twoCellAnchor editAs="oneCell">
    <xdr:from>
      <xdr:col>10</xdr:col>
      <xdr:colOff>76200</xdr:colOff>
      <xdr:row>26</xdr:row>
      <xdr:rowOff>101600</xdr:rowOff>
    </xdr:from>
    <xdr:to>
      <xdr:col>19</xdr:col>
      <xdr:colOff>165100</xdr:colOff>
      <xdr:row>31</xdr:row>
      <xdr:rowOff>139700</xdr:rowOff>
    </xdr:to>
    <xdr:pic>
      <xdr:nvPicPr>
        <xdr:cNvPr id="8" name="Picture 7">
          <a:extLst>
            <a:ext uri="{FF2B5EF4-FFF2-40B4-BE49-F238E27FC236}">
              <a16:creationId xmlns:a16="http://schemas.microsoft.com/office/drawing/2014/main" id="{EACE3980-925C-A206-583E-29B1F1E7C398}"/>
            </a:ext>
          </a:extLst>
        </xdr:cNvPr>
        <xdr:cNvPicPr>
          <a:picLocks noChangeAspect="1"/>
        </xdr:cNvPicPr>
      </xdr:nvPicPr>
      <xdr:blipFill>
        <a:blip xmlns:r="http://schemas.openxmlformats.org/officeDocument/2006/relationships" r:embed="rId3"/>
        <a:stretch>
          <a:fillRect/>
        </a:stretch>
      </xdr:blipFill>
      <xdr:spPr>
        <a:xfrm>
          <a:off x="15735300" y="85979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C22" activePane="bottomLeft" state="frozen"/>
      <selection pane="bottomLeft" activeCell="D1" sqref="D1"/>
    </sheetView>
  </sheetViews>
  <sheetFormatPr defaultColWidth="11" defaultRowHeight="12.95" outlineLevelRow="1"/>
  <cols>
    <col min="1" max="1" width="3.375" style="7" customWidth="1"/>
    <col min="2" max="2" width="7.875" style="7" customWidth="1"/>
    <col min="3" max="3" width="57" style="7" bestFit="1" customWidth="1"/>
    <col min="4" max="4" width="12.875" style="7" customWidth="1"/>
    <col min="5" max="5" width="22.375" style="7" bestFit="1" customWidth="1"/>
    <col min="6" max="6" width="12.625" style="39" customWidth="1"/>
    <col min="7" max="7" width="11.875" style="39" customWidth="1"/>
    <col min="8" max="8" width="10.625" style="7" customWidth="1"/>
    <col min="9" max="9" width="63.625" style="7" customWidth="1"/>
    <col min="10" max="10" width="3.375" style="7" customWidth="1"/>
    <col min="11" max="11" width="12.875" style="7" customWidth="1"/>
    <col min="12" max="17" width="11" style="7"/>
    <col min="18" max="18" width="9" style="7" customWidth="1"/>
    <col min="19" max="22" width="11" style="7"/>
    <col min="23" max="23" width="51.875" style="7" customWidth="1"/>
    <col min="24" max="16384" width="11" style="7"/>
  </cols>
  <sheetData>
    <row r="1" spans="1:258" ht="57" customHeight="1">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1" customHeight="1" thickBot="1">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4.95" customHeight="1">
      <c r="A8" s="47"/>
      <c r="B8" s="62"/>
      <c r="C8" s="63" t="s">
        <v>14</v>
      </c>
      <c r="D8" s="25"/>
      <c r="E8" s="25"/>
      <c r="F8" s="64">
        <f>MIN(F9:F21)</f>
        <v>45979</v>
      </c>
      <c r="G8" s="65">
        <f>MAX(G9:G21)</f>
        <v>45999</v>
      </c>
      <c r="H8" s="66">
        <f>IF(F8=0,0,G8-F8)+1</f>
        <v>21</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15" outlineLevel="1">
      <c r="A9" s="8"/>
      <c r="B9" s="2"/>
      <c r="C9" s="14" t="s">
        <v>16</v>
      </c>
      <c r="D9" s="3" t="s">
        <v>17</v>
      </c>
      <c r="E9" s="4" t="s">
        <v>18</v>
      </c>
      <c r="F9" s="40">
        <v>45979</v>
      </c>
      <c r="G9" s="40">
        <v>45979</v>
      </c>
      <c r="H9" s="45">
        <f t="shared" ref="H9" si="0">IF(OR(F9=0, ISBLANK(F9)),0,G9-F9+1)</f>
        <v>1</v>
      </c>
      <c r="I9" s="2"/>
      <c r="J9" s="8"/>
      <c r="K9" s="30" t="s">
        <v>19</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4.95" customHeight="1" outlineLevel="1">
      <c r="A10" s="8"/>
      <c r="B10" s="2"/>
      <c r="C10" s="14"/>
      <c r="D10" s="3"/>
      <c r="E10" s="4"/>
      <c r="F10" s="40"/>
      <c r="G10" s="40"/>
      <c r="H10" s="45"/>
      <c r="I10" s="2"/>
      <c r="J10" s="8"/>
      <c r="K10" s="3" t="s">
        <v>17</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4.95" customHeight="1" outlineLevel="1">
      <c r="A11" s="8"/>
      <c r="B11" s="2"/>
      <c r="C11" s="14"/>
      <c r="D11" s="3"/>
      <c r="E11" s="4"/>
      <c r="F11" s="40"/>
      <c r="G11" s="40"/>
      <c r="H11" s="45"/>
      <c r="I11" s="2"/>
      <c r="J11" s="8"/>
      <c r="K11" s="12" t="s">
        <v>20</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4.95" customHeight="1" outlineLevel="1">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4.95" customHeight="1" outlineLevel="1">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4.95" customHeight="1" outlineLevel="1">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4.95" customHeight="1" outlineLevel="1">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4.95" customHeight="1" outlineLevel="1">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4.95" customHeight="1" outlineLevel="1">
      <c r="A17" s="8"/>
      <c r="B17" s="2"/>
      <c r="C17" s="14"/>
      <c r="D17" s="3"/>
      <c r="E17" s="20"/>
      <c r="F17" s="40"/>
      <c r="G17" s="40"/>
      <c r="H17" s="45"/>
      <c r="I17" s="2"/>
      <c r="J17" s="8"/>
      <c r="K17" s="1"/>
      <c r="L17" s="8"/>
      <c r="M17" s="8"/>
      <c r="N17" s="8"/>
      <c r="O17" s="8"/>
      <c r="P17" s="8"/>
      <c r="Q17" s="8"/>
      <c r="R17" s="8"/>
      <c r="S17" s="8"/>
      <c r="T17" s="8"/>
      <c r="U17" s="8"/>
      <c r="V17" s="8"/>
      <c r="W17" s="8" t="s">
        <v>21</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4.95" customHeight="1" outlineLevel="1">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4.95" customHeight="1" outlineLevel="1">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4.95" customHeight="1" outlineLevel="1">
      <c r="A20" s="8"/>
      <c r="B20" s="2"/>
      <c r="C20" s="14" t="s">
        <v>22</v>
      </c>
      <c r="D20" s="3" t="s">
        <v>15</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4.95" customHeight="1" outlineLevel="1" thickBot="1">
      <c r="A21" s="8"/>
      <c r="B21" s="16"/>
      <c r="C21" s="14" t="s">
        <v>23</v>
      </c>
      <c r="D21" s="15" t="s">
        <v>15</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4.95" customHeight="1">
      <c r="A22" s="47"/>
      <c r="B22" s="56"/>
      <c r="C22" s="56" t="s">
        <v>24</v>
      </c>
      <c r="D22" s="57"/>
      <c r="E22" s="58"/>
      <c r="F22" s="59">
        <f>MIN(F23:F35)</f>
        <v>45971</v>
      </c>
      <c r="G22" s="60">
        <f>MAX(G23:G35)</f>
        <v>45999</v>
      </c>
      <c r="H22" s="76">
        <f t="shared" si="1"/>
        <v>29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4.75" outlineLevel="1">
      <c r="A23" s="8"/>
      <c r="B23" s="2"/>
      <c r="C23" s="14" t="s">
        <v>25</v>
      </c>
      <c r="D23" s="3" t="s">
        <v>17</v>
      </c>
      <c r="E23" s="13" t="s">
        <v>26</v>
      </c>
      <c r="F23" s="40">
        <v>45971</v>
      </c>
      <c r="G23" s="40">
        <v>45971</v>
      </c>
      <c r="H23" s="46">
        <f t="shared" si="1"/>
        <v>1</v>
      </c>
      <c r="I23" s="78" t="s">
        <v>27</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4.95" customHeight="1" outlineLevel="1">
      <c r="A24" s="8"/>
      <c r="B24" s="2"/>
      <c r="C24" s="80" t="s">
        <v>28</v>
      </c>
      <c r="D24" s="3" t="s">
        <v>17</v>
      </c>
      <c r="E24" s="13" t="s">
        <v>29</v>
      </c>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4.95" customHeight="1" outlineLevel="1">
      <c r="A25" s="8"/>
      <c r="B25" s="2"/>
      <c r="C25"/>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4.95" customHeight="1" outlineLevel="1">
      <c r="A26" s="8"/>
      <c r="B26" s="2"/>
      <c r="C26" s="14" t="s">
        <v>30</v>
      </c>
      <c r="D26" s="3" t="s">
        <v>17</v>
      </c>
      <c r="E26" s="13" t="s">
        <v>31</v>
      </c>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4.95" customHeight="1" outlineLevel="1">
      <c r="A27" s="8"/>
      <c r="B27" s="2"/>
      <c r="C27" s="14" t="s">
        <v>32</v>
      </c>
      <c r="D27" s="3" t="s">
        <v>17</v>
      </c>
      <c r="E27" s="13" t="s">
        <v>33</v>
      </c>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4.95" customHeight="1" outlineLevel="1">
      <c r="A28" s="8"/>
      <c r="B28" s="2"/>
      <c r="C28" s="14" t="s">
        <v>34</v>
      </c>
      <c r="D28" s="3" t="s">
        <v>17</v>
      </c>
      <c r="E28" s="13" t="s">
        <v>35</v>
      </c>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4.95" customHeight="1" outlineLevel="1">
      <c r="A29" s="8"/>
      <c r="B29" s="2"/>
      <c r="C29" s="14" t="s">
        <v>36</v>
      </c>
      <c r="D29" s="3" t="s">
        <v>17</v>
      </c>
      <c r="E29" s="13" t="s">
        <v>37</v>
      </c>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4.95" customHeight="1" outlineLevel="1">
      <c r="A30" s="8"/>
      <c r="B30" s="2"/>
      <c r="C30" s="14" t="s">
        <v>38</v>
      </c>
      <c r="D30" s="3" t="s">
        <v>17</v>
      </c>
      <c r="E30" s="13" t="s">
        <v>39</v>
      </c>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4.95" customHeight="1" outlineLevel="1">
      <c r="A31" s="8"/>
      <c r="B31" s="2"/>
      <c r="C31" s="14"/>
      <c r="D31" s="3"/>
      <c r="E31" s="13"/>
      <c r="F31" s="40"/>
      <c r="G31" s="40"/>
      <c r="H31" s="46"/>
      <c r="I31" s="2"/>
      <c r="J31" s="8"/>
      <c r="K31" s="1"/>
      <c r="L31" s="8"/>
      <c r="M31" s="8"/>
      <c r="N31" s="8"/>
      <c r="O31" s="8"/>
      <c r="P31" s="8"/>
      <c r="Q31" s="8"/>
      <c r="R31" s="8"/>
      <c r="S31" s="8"/>
      <c r="T31" s="8"/>
      <c r="U31" s="8"/>
      <c r="V31" s="8"/>
      <c r="W31" s="8" t="s">
        <v>40</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4.95" customHeight="1" outlineLevel="1">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4.95" customHeight="1" outlineLevel="1">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4.95" customHeight="1" outlineLevel="1">
      <c r="A34" s="8"/>
      <c r="B34" s="2"/>
      <c r="C34" s="14" t="s">
        <v>22</v>
      </c>
      <c r="D34" s="3" t="s">
        <v>17</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4.95" customHeight="1" outlineLevel="1" thickBot="1">
      <c r="A35" s="8"/>
      <c r="B35" s="2"/>
      <c r="C35" s="14" t="s">
        <v>23</v>
      </c>
      <c r="D35" s="15" t="s">
        <v>15</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4.95" customHeight="1">
      <c r="A36" s="47"/>
      <c r="B36" s="48"/>
      <c r="C36" s="48" t="s">
        <v>41</v>
      </c>
      <c r="D36" s="49"/>
      <c r="E36" s="50"/>
      <c r="F36" s="51">
        <f>MIN(F37:F49)</f>
        <v>45979</v>
      </c>
      <c r="G36" s="52">
        <f>MAX(G37:G49)</f>
        <v>45999</v>
      </c>
      <c r="H36" s="75">
        <f t="shared" si="1"/>
        <v>21</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7.95" outlineLevel="1">
      <c r="A37" s="8"/>
      <c r="B37" s="2"/>
      <c r="C37" s="14" t="s">
        <v>42</v>
      </c>
      <c r="D37" s="3" t="s">
        <v>20</v>
      </c>
      <c r="E37" s="12" t="s">
        <v>43</v>
      </c>
      <c r="F37" s="40">
        <v>45979</v>
      </c>
      <c r="G37" s="41">
        <v>45979</v>
      </c>
      <c r="H37" s="77">
        <f t="shared" si="1"/>
        <v>1</v>
      </c>
      <c r="I37" s="78" t="s">
        <v>27</v>
      </c>
      <c r="J37" s="8"/>
      <c r="K37" s="79" t="s">
        <v>44</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4.95" customHeight="1" outlineLevel="1">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4.95" customHeight="1" outlineLevel="1">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4.95" customHeight="1" outlineLevel="1">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4.95" customHeight="1" outlineLevel="1">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4.95" customHeight="1" outlineLevel="1">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4.95" customHeight="1" outlineLevel="1">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4.95" customHeight="1" outlineLevel="1">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4.95" customHeight="1" outlineLevel="1">
      <c r="A45" s="8"/>
      <c r="B45" s="2"/>
      <c r="C45" s="14"/>
      <c r="D45" s="3"/>
      <c r="E45" s="12"/>
      <c r="F45" s="40"/>
      <c r="G45" s="40"/>
      <c r="H45" s="77"/>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4.95" customHeight="1" outlineLevel="1">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4.95" customHeight="1" outlineLevel="1">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4.95" customHeight="1" outlineLevel="1">
      <c r="A48" s="8"/>
      <c r="B48" s="2"/>
      <c r="C48" s="14" t="s">
        <v>22</v>
      </c>
      <c r="D48" s="3" t="s">
        <v>15</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4.95" customHeight="1" outlineLevel="1" thickBot="1">
      <c r="A49" s="8"/>
      <c r="B49" s="16"/>
      <c r="C49" s="14" t="s">
        <v>23</v>
      </c>
      <c r="D49" s="15" t="s">
        <v>15</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4.95" customHeight="1">
      <c r="A50" s="47"/>
      <c r="B50" s="68"/>
      <c r="C50" s="68" t="s">
        <v>45</v>
      </c>
      <c r="D50" s="69"/>
      <c r="E50" s="70"/>
      <c r="F50" s="71">
        <f>MIN(F51:F63)</f>
        <v>0</v>
      </c>
      <c r="G50" s="72">
        <f>MAX(G51:G63)</f>
        <v>0</v>
      </c>
      <c r="H50" s="74">
        <f t="shared" si="1"/>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1" outlineLevel="1">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4.95" customHeight="1" outlineLevel="1">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4.95" customHeight="1" outlineLevel="1">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4.95" customHeight="1" outlineLevel="1">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4.95" customHeight="1" outlineLevel="1">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4.95" customHeight="1" outlineLevel="1">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4.95" customHeight="1" outlineLevel="1">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4.95" customHeight="1" outlineLevel="1">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4.95" customHeight="1" outlineLevel="1">
      <c r="A59" s="8"/>
      <c r="B59" s="2"/>
      <c r="C59" s="14"/>
      <c r="D59" s="3"/>
      <c r="E59" s="13"/>
      <c r="F59" s="40"/>
      <c r="G59" s="40"/>
      <c r="H59" s="33"/>
      <c r="I59" s="2"/>
      <c r="J59" s="8"/>
      <c r="K59" s="1"/>
      <c r="L59" s="8"/>
      <c r="M59" s="8"/>
      <c r="N59" s="8"/>
      <c r="O59" s="8"/>
      <c r="P59" s="8"/>
      <c r="Q59" s="8"/>
      <c r="R59" s="8"/>
      <c r="S59" s="8"/>
      <c r="T59" s="8"/>
      <c r="U59" s="8"/>
      <c r="V59" s="8"/>
      <c r="W59" s="44" t="s">
        <v>46</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4.95" customHeight="1" outlineLevel="1">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4.95" customHeight="1" outlineLevel="1">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4.95" customHeight="1" outlineLevel="1">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4.95" customHeight="1" outlineLevel="1" thickBot="1">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875" defaultRowHeight="15"/>
  <cols>
    <col min="1" max="1" width="3.375" style="6" customWidth="1"/>
    <col min="2" max="2" width="88.375" style="6" customWidth="1"/>
    <col min="3" max="16384" width="10.875" style="6"/>
  </cols>
  <sheetData>
    <row r="2" spans="2:2" ht="102">
      <c r="B2" s="5" t="s">
        <v>47</v>
      </c>
    </row>
    <row r="4" spans="2:2">
      <c r="B4" s="6" t="s">
        <v>48</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2015-02-24T20:54:23Z</dcterms:created>
  <dcterms:modified xsi:type="dcterms:W3CDTF">2025-12-02T21:52:55Z</dcterms:modified>
  <cp:category/>
  <cp:contentStatus/>
</cp:coreProperties>
</file>