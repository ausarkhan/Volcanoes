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740/251201_A8_XULA/"/>
    </mc:Choice>
  </mc:AlternateContent>
  <xr:revisionPtr revIDLastSave="0" documentId="13_ncr:1_{5246066E-9BCA-1B4C-B9D2-EB74AB1356E6}" xr6:coauthVersionLast="47" xr6:coauthVersionMax="47" xr10:uidLastSave="{00000000-0000-0000-0000-000000000000}"/>
  <bookViews>
    <workbookView xWindow="16220" yWindow="1060" windowWidth="28580" windowHeight="20940" tabRatio="500" xr2:uid="{00000000-000D-0000-FFFF-FFFF00000000}"/>
  </bookViews>
  <sheets>
    <sheet name="Volcanoes" sheetId="10" r:id="rId1"/>
    <sheet name="-Disclaimer-" sheetId="2" r:id="rId2"/>
  </sheets>
  <definedNames>
    <definedName name="_xlnm.Print_Area" localSheetId="0">Volcanoes!$B$1:$I$65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<sst xmlns="http://schemas.openxmlformats.org/spreadsheetml/2006/main" count="54" uniqueCount="37">
  <si>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</si>
  <si>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</si>
  <si>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</si>
  <si>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</si>
  <si>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</si>
  <si>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</si>
  <si>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</si>
  <si>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</si>
  <si>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</si>
  <si>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</si>
  <si>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</si>
  <si>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</si>
  <si>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</si>
  <si>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</si>
  <si>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</si>
  <si>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Nov 26th: 30 commits, +461, -122</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</si>
  <si>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</si>
  <si>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</si>
  <si>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</si>
  <si>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</si>
  <si>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t>Vacant</t>
  </si>
  <si>
    <r>
      <rPr>
        <sz val="11"/>
        <color rgb="FFFF0000"/>
        <rFont val="Century Gothic"/>
        <family val="1"/>
      </rPr>
      <t>#</t>
    </r>
    <r>
      <rPr>
        <sz val="11"/>
        <color theme="1"/>
        <rFont val="Century Gothic"/>
        <family val="1"/>
      </rPr>
      <t xml:space="preserve"> Update README with prioritized projects</t>
    </r>
  </si>
  <si>
    <t>Volcanoes Statement of Work</t>
  </si>
  <si>
    <t>Events</t>
  </si>
  <si>
    <t>Ausar (SWE), Ja'Nya (Lead), Jon (Designer), no Tester</t>
  </si>
  <si>
    <t>Ausar</t>
  </si>
  <si>
    <t>Ja'Nya</t>
  </si>
  <si>
    <t>Jon</t>
  </si>
  <si>
    <t>SHA 1fc9902</t>
  </si>
  <si>
    <t>SHA 61e722a</t>
  </si>
  <si>
    <r>
      <rPr>
        <sz val="11"/>
        <color rgb="FFFF0000"/>
        <rFont val="Century Gothic"/>
        <family val="1"/>
      </rPr>
      <t xml:space="preserve"># </t>
    </r>
    <r>
      <rPr>
        <sz val="11"/>
        <color theme="1"/>
        <rFont val="Century Gothic"/>
        <family val="1"/>
      </rPr>
      <t>Create CPSC_event class</t>
    </r>
  </si>
  <si>
    <t>SHA 52b08c9</t>
  </si>
  <si>
    <t>#31 Create Alert class</t>
  </si>
  <si>
    <t>Project Development Team</t>
  </si>
  <si>
    <t>Nov 26th: 28 commits, +393, -38</t>
  </si>
  <si>
    <t>Nov 26th: 8 commits, +4906, -8</t>
  </si>
  <si>
    <t>You and Ja'Nya need to figure out why Ausar is listed as a contributor to our shared repo but you are not.  You can't earn points for this assignment unless you are a contributor.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</si>
</sst>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Volcanoes!$F$8:$F$63</c:f>
              <c:numCache>
                <c:formatCode>m/d;@</c:formatCode>
                <c:ptCount val="56"/>
                <c:pt idx="0">
                  <c:v>45979</c:v>
                </c:pt>
                <c:pt idx="1">
                  <c:v>45979</c:v>
                </c:pt>
                <c:pt idx="12">
                  <c:v>45983</c:v>
                </c:pt>
                <c:pt idx="13">
                  <c:v>45992</c:v>
                </c:pt>
                <c:pt idx="14">
                  <c:v>45971</c:v>
                </c:pt>
                <c:pt idx="15">
                  <c:v>45971</c:v>
                </c:pt>
                <c:pt idx="26">
                  <c:v>45983</c:v>
                </c:pt>
                <c:pt idx="27">
                  <c:v>45992</c:v>
                </c:pt>
                <c:pt idx="28">
                  <c:v>45979</c:v>
                </c:pt>
                <c:pt idx="29">
                  <c:v>45979</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Volcanoes!$H$8:$H$63</c:f>
              <c:numCache>
                <c:formatCode>0</c:formatCode>
                <c:ptCount val="56"/>
                <c:pt idx="0">
                  <c:v>21</c:v>
                </c:pt>
                <c:pt idx="1">
                  <c:v>1</c:v>
                </c:pt>
                <c:pt idx="12">
                  <c:v>17</c:v>
                </c:pt>
                <c:pt idx="13">
                  <c:v>1</c:v>
                </c:pt>
                <c:pt idx="14">
                  <c:v>29</c:v>
                </c:pt>
                <c:pt idx="15">
                  <c:v>1</c:v>
                </c:pt>
                <c:pt idx="26">
                  <c:v>17</c:v>
                </c:pt>
                <c:pt idx="27">
                  <c:v>1</c:v>
                </c:pt>
                <c:pt idx="28" formatCode="General">
                  <c:v>21</c:v>
                </c:pt>
                <c:pt idx="29">
                  <c:v>1</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139700</xdr:colOff>
      <xdr:row>12</xdr:row>
      <xdr:rowOff>114300</xdr:rowOff>
    </xdr:from>
    <xdr:to>
      <xdr:col>18</xdr:col>
      <xdr:colOff>812800</xdr:colOff>
      <xdr:row>17</xdr:row>
      <xdr:rowOff>152400</xdr:rowOff>
    </xdr:to>
    <xdr:pic>
      <xdr:nvPicPr>
        <xdr:cNvPr id="7" name="Picture 6">
          <a:extLst>
            <a:ext uri="{FF2B5EF4-FFF2-40B4-BE49-F238E27FC236}">
              <a16:creationId xmlns:a16="http://schemas.microsoft.com/office/drawing/2014/main" id="{B5DF30D1-D73B-4D92-9CEB-7BAB02447D42}"/>
            </a:ext>
          </a:extLst>
        </xdr:cNvPr>
        <xdr:cNvPicPr>
          <a:picLocks noChangeAspect="1"/>
        </xdr:cNvPicPr>
      </xdr:nvPicPr>
      <xdr:blipFill>
        <a:blip xmlns:r="http://schemas.openxmlformats.org/officeDocument/2006/relationships" r:embed="rId2"/>
        <a:stretch>
          <a:fillRect/>
        </a:stretch>
      </xdr:blipFill>
      <xdr:spPr>
        <a:xfrm>
          <a:off x="15544800" y="4127500"/>
          <a:ext cx="7620000" cy="1625600"/>
        </a:xfrm>
        <a:prstGeom prst="rect">
          <a:avLst/>
        </a:prstGeom>
      </xdr:spPr>
    </xdr:pic>
    <xdr:clientData/>
  </xdr:twoCellAnchor>
  <xdr:twoCellAnchor editAs="oneCell">
    <xdr:from>
      <xdr:col>10</xdr:col>
      <xdr:colOff>76200</xdr:colOff>
      <xdr:row>26</xdr:row>
      <xdr:rowOff>101600</xdr:rowOff>
    </xdr:from>
    <xdr:to>
      <xdr:col>19</xdr:col>
      <xdr:colOff>165100</xdr:colOff>
      <xdr:row>31</xdr:row>
      <xdr:rowOff>139700</xdr:rowOff>
    </xdr:to>
    <xdr:pic>
      <xdr:nvPicPr>
        <xdr:cNvPr id="8" name="Picture 7">
          <a:extLst>
            <a:ext uri="{FF2B5EF4-FFF2-40B4-BE49-F238E27FC236}">
              <a16:creationId xmlns:a16="http://schemas.microsoft.com/office/drawing/2014/main" id="{EACE3980-925C-A206-583E-29B1F1E7C398}"/>
            </a:ext>
          </a:extLst>
        </xdr:cNvPr>
        <xdr:cNvPicPr>
          <a:picLocks noChangeAspect="1"/>
        </xdr:cNvPicPr>
      </xdr:nvPicPr>
      <xdr:blipFill>
        <a:blip xmlns:r="http://schemas.openxmlformats.org/officeDocument/2006/relationships" r:embed="rId3"/>
        <a:stretch>
          <a:fillRect/>
        </a:stretch>
      </xdr:blipFill>
      <xdr:spPr>
        <a:xfrm>
          <a:off x="15735300" y="85979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11" activePane="bottomLeft" state="frozen"/>
      <selection pane="bottomLeft" activeCell="W27" sqref="W27"/>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22</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23</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33</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24</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25</v>
      </c>
      <c r="D8" s="25"/>
      <c r="E8" s="25"/>
      <c r="F8" s="64">
        <f>MIN(F9:F21)</f>
        <v>45979</v>
      </c>
      <c r="G8" s="65">
        <f>MAX(G9:G21)</f>
        <v>45999</v>
      </c>
      <c r="H8" s="66">
        <f>IF(F8=0,0,G8-F8)+1</f>
        <v>21</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15" outlineLevel="1" x14ac:dyDescent="0.2">
      <c r="A9" s="8"/>
      <c r="B9" s="2"/>
      <c r="C9" s="14" t="s">
        <v>32</v>
      </c>
      <c r="D9" s="3" t="s">
        <v>0</v>
      </c>
      <c r="E9" s="4" t="s">
        <v>29</v>
      </c>
      <c r="F9" s="40">
        <v>45979</v>
      </c>
      <c r="G9" s="40">
        <v>45979</v>
      </c>
      <c r="H9" s="45">
        <f t="shared" ref="H9" si="0">IF(OR(F9=0, ISBLANK(F9)),0,G9-F9+1)</f>
        <v>1</v>
      </c>
      <c r="I9" s="2"/>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35</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17</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16</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26</v>
      </c>
      <c r="D22" s="57"/>
      <c r="E22" s="58"/>
      <c r="F22" s="59">
        <f>MIN(F23:F35)</f>
        <v>45971</v>
      </c>
      <c r="G22" s="60">
        <f>MAX(G23:G35)</f>
        <v>45999</v>
      </c>
      <c r="H22" s="76">
        <f t="shared" si="1"/>
        <v>29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t="s">
        <v>21</v>
      </c>
      <c r="D23" s="3" t="s">
        <v>3</v>
      </c>
      <c r="E23" s="13" t="s">
        <v>28</v>
      </c>
      <c r="F23" s="40">
        <v>45971</v>
      </c>
      <c r="G23" s="40">
        <v>45971</v>
      </c>
      <c r="H23" s="46">
        <f t="shared" si="1"/>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34</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17</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16</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27</v>
      </c>
      <c r="D36" s="49"/>
      <c r="E36" s="50"/>
      <c r="F36" s="51">
        <f>MIN(F37:F49)</f>
        <v>45979</v>
      </c>
      <c r="G36" s="52">
        <f>MAX(G37:G49)</f>
        <v>45999</v>
      </c>
      <c r="H36" s="75">
        <f t="shared" si="1"/>
        <v>21</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t="s">
        <v>30</v>
      </c>
      <c r="D37" s="3" t="s">
        <v>3</v>
      </c>
      <c r="E37" s="12" t="s">
        <v>31</v>
      </c>
      <c r="F37" s="40">
        <v>45979</v>
      </c>
      <c r="G37" s="41">
        <v>45979</v>
      </c>
      <c r="H37" s="77">
        <f t="shared" si="1"/>
        <v>1</v>
      </c>
      <c r="I37" s="78" t="s">
        <v>19</v>
      </c>
      <c r="J37" s="8"/>
      <c r="K37" s="79" t="s">
        <v>36</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17</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16</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20</v>
      </c>
      <c r="D50" s="69"/>
      <c r="E50" s="70"/>
      <c r="F50" s="71">
        <f>MIN(F51:F63)</f>
        <v>0</v>
      </c>
      <c r="G50" s="72">
        <f>MAX(G51:G63)</f>
        <v>0</v>
      </c>
      <c r="H50" s="74">
        <f t="shared" si="1"/>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15</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Volcanoes</vt:lpstr>
      <vt:lpstr>-Disclaimer-</vt:lpstr>
      <vt:lpstr>Volcanoes!Print_Area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2025-11-28T05:28:34Z</dcterms:modified>
</cp:coreProperties>
</file>