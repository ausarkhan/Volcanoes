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02508/2740/251201_A8_XULA/Volcanoes/"/>
    </mc:Choice>
  </mc:AlternateContent>
  <xr:revisionPtr revIDLastSave="0" documentId="13_ncr:1_{076B9F44-E990-DD43-8696-AD0EA3447168}" xr6:coauthVersionLast="47" xr6:coauthVersionMax="47" xr10:uidLastSave="{00000000-0000-0000-0000-000000000000}"/>
  <bookViews>
    <workbookView xWindow="7320" yWindow="3740" windowWidth="28580" windowHeight="20940" tabRatio="500" xr2:uid="{00000000-000D-0000-FFFF-FFFF00000000}"/>
  </bookViews>
  <sheets>
    <sheet name="Volcanoes" sheetId="10" r:id="rId1"/>
    <sheet name="-Disclaimer-" sheetId="2" r:id="rId2"/>
  </sheets>
  <definedNames>
    <definedName name="_xlnm.Print_Area" localSheetId="0">Volcanoes!$B$1:$I$42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20" i="10" l="1"/>
  <c r="H21" i="10"/>
  <c r="H22" i="10"/>
  <c r="H23" i="10"/>
  <c r="H24" i="10"/>
  <c r="H25" i="10"/>
  <c r="H26" i="10"/>
  <c r="H19" i="10"/>
  <c r="H18" i="10"/>
  <c r="H16" i="10" l="1"/>
  <c r="H15" i="10"/>
  <c r="H9" i="10"/>
  <c r="F8" i="10"/>
  <c r="G8" i="10"/>
  <c r="H28" i="10"/>
  <c r="H39" i="10"/>
  <c r="H40" i="10"/>
  <c r="G17" i="10" l="1"/>
  <c r="F17" i="10"/>
  <c r="F27" i="10"/>
  <c r="G27" i="10"/>
  <c r="H5" i="10"/>
  <c r="H17" i="10" l="1"/>
  <c r="H27" i="10"/>
  <c r="H8" i="10"/>
</calcChain>
</file>

<file path=xl/sharedStrings.xml><?xml version="1.0" encoding="utf-8"?>
<sst xmlns="http://schemas.openxmlformats.org/spreadsheetml/2006/main" count="89" uniqueCount="66">
  <si>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</si>
  <si>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</si>
  <si>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</si>
  <si>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</si>
  <si>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</si>
  <si>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</si>
  <si>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</si>
  <si>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</si>
  <si>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</si>
  <si>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</si>
  <si>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</si>
  <si>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</si>
  <si>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</si>
  <si>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</si>
  <si>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Evaluate team using Brightspace survey</t>
  </si>
  <si>
    <t xml:space="preserve">Evaluate Dr. Edwards via Class Climate </t>
  </si>
  <si>
    <t>https://www.smartsheet.com/top-project-management-excel-templates?srsltid=AfmBOorM8KTqo0GkEazFKhVFp3ozfOh-BifeI1KKxQxM0WpR5p08gBRL</t>
  </si>
  <si>
    <t>Volcanoes Statement of Work</t>
  </si>
  <si>
    <t>Events</t>
  </si>
  <si>
    <t>Ausar (SWE), Ja'Nya (Lead), Jon (Designer), no Tester</t>
  </si>
  <si>
    <t>Ausar</t>
  </si>
  <si>
    <t>Ja'Nya</t>
  </si>
  <si>
    <t>Jon</t>
  </si>
  <si>
    <t>SHA 1fc9902</t>
  </si>
  <si>
    <t>SHA 61e722a</t>
  </si>
  <si>
    <r>
      <rPr>
        <sz val="11"/>
        <color rgb="FFFF0000"/>
        <rFont val="Century Gothic"/>
        <family val="1"/>
      </rPr>
      <t xml:space="preserve"># </t>
    </r>
    <r>
      <rPr>
        <sz val="11"/>
        <color theme="1"/>
        <rFont val="Century Gothic"/>
        <family val="1"/>
      </rPr>
      <t>Create CPSC_event class</t>
    </r>
  </si>
  <si>
    <t>SHA 52b08c9</t>
  </si>
  <si>
    <t>#31 Create Alert class</t>
  </si>
  <si>
    <t>Project Development Team</t>
  </si>
  <si>
    <t>SHA 9886a0b</t>
  </si>
  <si>
    <t>Integrated Services into Event Cancellation Workflow</t>
  </si>
  <si>
    <t>SHA c0edce3</t>
  </si>
  <si>
    <t>Add unit tests for FeedService, EventCancellationService, CalendarSyncService</t>
  </si>
  <si>
    <t>SHA dd1fe1a</t>
  </si>
  <si>
    <t>Event Cancellation System (: Xavier University Event Cancellation System,Add EventCancellationManager with cancel and undo functionality,: Add Event Cancellation Manager with undo functionality)</t>
  </si>
  <si>
    <t>SHA c552fd97 ,95c802f2, f29d357e</t>
  </si>
  <si>
    <t>User Story #8: Alert Subscription System</t>
  </si>
  <si>
    <t>User Story #2</t>
  </si>
  <si>
    <t>User Story #32</t>
  </si>
  <si>
    <t>User Story #35</t>
  </si>
  <si>
    <t xml:space="preserve">a8e840c, d422f79, </t>
  </si>
  <si>
    <t>User Story #33</t>
  </si>
  <si>
    <t xml:space="preserve">62c36dd, aaeb490, ac06a4f, </t>
  </si>
  <si>
    <t>User Story #6</t>
  </si>
  <si>
    <t>bfa6b1f, 72bf603</t>
  </si>
  <si>
    <t>User Story #37</t>
  </si>
  <si>
    <t>README</t>
  </si>
  <si>
    <r>
      <t xml:space="preserve">SHA </t>
    </r>
    <r>
      <rPr>
        <sz val="10"/>
        <color theme="8"/>
        <rFont val="Century Gothic"/>
        <family val="1"/>
      </rPr>
      <t>8325caa</t>
    </r>
    <r>
      <rPr>
        <sz val="10"/>
        <color theme="1"/>
        <rFont val="Century Gothic"/>
        <family val="1"/>
      </rPr>
      <t>, 4d0650f, 86667ee, a62f2e5, 9bae98a</t>
    </r>
  </si>
  <si>
    <t>check_conflict(), register_event(), TestConflicChecker, test_register_event_adds_Event</t>
  </si>
  <si>
    <r>
      <t xml:space="preserve">SHA 4b7384b, 1601710, </t>
    </r>
    <r>
      <rPr>
        <sz val="10"/>
        <color rgb="FFFF0000"/>
        <rFont val="Century Gothic"/>
        <family val="1"/>
      </rPr>
      <t>9c96ccc</t>
    </r>
    <r>
      <rPr>
        <sz val="10"/>
        <color theme="1"/>
        <rFont val="Century Gothic"/>
        <family val="1"/>
      </rPr>
      <t>, 3f0d0c4, 763b2f6, 1a7dce3, acddb02, ae78e72, 194f939</t>
    </r>
  </si>
  <si>
    <t>get_rsvp_users_for_event, RSVP (__init, __repr__), get_users_object_for_event,</t>
  </si>
  <si>
    <t>is_event_virtual, __repr__</t>
  </si>
  <si>
    <t>Events( __init__, create_event)
FilterEvent(__init__)</t>
  </si>
  <si>
    <t>validate_event_time, update_event_time</t>
  </si>
  <si>
    <r>
      <t xml:space="preserve">d56cae5, 7a06c99, </t>
    </r>
    <r>
      <rPr>
        <sz val="10"/>
        <color rgb="FFFF0000"/>
        <rFont val="Century Gothic"/>
        <family val="1"/>
      </rPr>
      <t>22433d</t>
    </r>
    <r>
      <rPr>
        <sz val="10"/>
        <rFont val="Century Gothic"/>
        <family val="1"/>
      </rPr>
      <t xml:space="preserve">, 9451f75, b3484fa, 54a2ec7, </t>
    </r>
  </si>
  <si>
    <t>RSVP_Service (__init__, create_rsvp, cancel_rsvp, __repr__, get_usr_rsvps)</t>
  </si>
  <si>
    <t>Alert (__init__, __repr__, send_alert, update_preferences)</t>
  </si>
  <si>
    <t>FoodService( __init__, add_event, remove_event)
NotificationService (notify_followers)</t>
  </si>
  <si>
    <t>Created FeedService Class, Created NotificationService Class</t>
  </si>
  <si>
    <t>cancel_event</t>
  </si>
  <si>
    <t>test_generate_ics_canceled_event, test_generate_ics_active_event, test_sync_to_all_integrations, test_sync_to_specific_integration, test_sync_history_tracking
Tests_EventCancellationService</t>
  </si>
  <si>
    <t>edited README, edited main
CancellationError
EventCancellationManager</t>
  </si>
  <si>
    <r>
      <t>SHA a6c76ff7,</t>
    </r>
    <r>
      <rPr>
        <sz val="10"/>
        <color rgb="FFFF0000"/>
        <rFont val="Century Gothic"/>
        <family val="1"/>
      </rPr>
      <t>1a3dce8d</t>
    </r>
    <r>
      <rPr>
        <sz val="10"/>
        <color theme="1"/>
        <rFont val="Century Gothic"/>
        <family val="1"/>
      </rPr>
      <t>,857c864c</t>
    </r>
  </si>
  <si>
    <t xml:space="preserve">reworked Alert
User
edited README with generated other docs
</t>
  </si>
  <si>
    <t>Jon earned a zero for Assignment08 because he didn't submit his SOW.  If I'm in error, Jon should email me a SHA with his Excel spreadsheet.</t>
  </si>
  <si>
    <t>Update README with prioritized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</si>
</sst>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1"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
      <sz val="10"/>
      <color theme="8"/>
      <name val="Century Gothic"/>
      <family val="1"/>
    </font>
    <font>
      <sz val="10"/>
      <name val="Century Gothic"/>
      <family val="1"/>
    </font>
  </fonts>
  <fills count="12">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rgb="FFD1EEFF"/>
        <bgColor indexed="64"/>
      </patternFill>
    </fill>
    <fill>
      <patternFill patternType="solid">
        <fgColor rgb="FFB3E481"/>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66">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3" borderId="7" xfId="0" applyFont="1" applyFill="1" applyBorder="1" applyAlignment="1">
      <alignment horizontal="left" vertical="center" wrapText="1" indent="1"/>
    </xf>
    <xf numFmtId="0" fontId="6" fillId="4"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8" borderId="9" xfId="0" applyNumberFormat="1" applyFont="1" applyFill="1" applyBorder="1" applyAlignment="1">
      <alignment horizontal="left" vertical="center" wrapText="1" indent="1"/>
    </xf>
    <xf numFmtId="0" fontId="13" fillId="2" borderId="0" xfId="0" applyFont="1" applyFill="1" applyAlignment="1">
      <alignment vertical="center"/>
    </xf>
    <xf numFmtId="0" fontId="11" fillId="3" borderId="7" xfId="0"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7" borderId="7" xfId="0" applyFont="1" applyFill="1" applyBorder="1" applyAlignment="1">
      <alignment horizontal="right" vertical="center" wrapText="1" indent="1"/>
    </xf>
    <xf numFmtId="0" fontId="11" fillId="7"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1" fontId="4" fillId="9" borderId="1" xfId="0" applyNumberFormat="1" applyFont="1" applyFill="1" applyBorder="1" applyAlignment="1">
      <alignment horizontal="right" vertical="center" wrapText="1" indent="1"/>
    </xf>
    <xf numFmtId="1" fontId="4" fillId="10"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6" borderId="4" xfId="0" applyFont="1" applyFill="1" applyBorder="1" applyAlignment="1">
      <alignment horizontal="left" vertical="center" wrapText="1" indent="1"/>
    </xf>
    <xf numFmtId="0" fontId="15" fillId="6" borderId="4" xfId="0" applyFont="1" applyFill="1" applyBorder="1" applyAlignment="1">
      <alignment horizontal="left" vertical="center" wrapText="1" indent="1" readingOrder="1"/>
    </xf>
    <xf numFmtId="164" fontId="16" fillId="6" borderId="4" xfId="0" applyNumberFormat="1" applyFont="1" applyFill="1" applyBorder="1" applyAlignment="1">
      <alignment horizontal="left" vertical="center" wrapText="1" indent="1"/>
    </xf>
    <xf numFmtId="164" fontId="14" fillId="6" borderId="4" xfId="0" applyNumberFormat="1" applyFont="1" applyFill="1" applyBorder="1" applyAlignment="1">
      <alignment horizontal="right" vertical="center" wrapText="1" indent="1" readingOrder="1"/>
    </xf>
    <xf numFmtId="164" fontId="14" fillId="6" borderId="4" xfId="0" applyNumberFormat="1" applyFont="1" applyFill="1" applyBorder="1" applyAlignment="1">
      <alignment horizontal="right" vertical="center" wrapText="1" indent="1"/>
    </xf>
    <xf numFmtId="0" fontId="10" fillId="6"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5" borderId="4" xfId="0" applyFont="1" applyFill="1" applyBorder="1" applyAlignment="1">
      <alignment horizontal="left" vertical="center" wrapText="1" indent="1"/>
    </xf>
    <xf numFmtId="0" fontId="14" fillId="5" borderId="4" xfId="0" applyFont="1" applyFill="1" applyBorder="1" applyAlignment="1">
      <alignment horizontal="left" vertical="center" wrapText="1" indent="1" readingOrder="1"/>
    </xf>
    <xf numFmtId="164" fontId="14" fillId="5" borderId="4" xfId="0" applyNumberFormat="1" applyFont="1" applyFill="1" applyBorder="1" applyAlignment="1">
      <alignment horizontal="left" vertical="center" wrapText="1" indent="1"/>
    </xf>
    <xf numFmtId="164" fontId="14" fillId="5" borderId="4" xfId="0" applyNumberFormat="1" applyFont="1" applyFill="1" applyBorder="1" applyAlignment="1">
      <alignment horizontal="right" vertical="center" wrapText="1" indent="1" readingOrder="1"/>
    </xf>
    <xf numFmtId="164" fontId="14" fillId="5" borderId="4" xfId="0" applyNumberFormat="1" applyFont="1" applyFill="1" applyBorder="1" applyAlignment="1">
      <alignment horizontal="right" vertical="center" wrapText="1" indent="1"/>
    </xf>
    <xf numFmtId="0" fontId="6" fillId="5" borderId="4" xfId="0" applyFont="1" applyFill="1" applyBorder="1" applyAlignment="1">
      <alignment horizontal="left" vertical="center" wrapText="1" indent="1"/>
    </xf>
    <xf numFmtId="0" fontId="14" fillId="4" borderId="4" xfId="0" applyFont="1" applyFill="1" applyBorder="1" applyAlignment="1">
      <alignment horizontal="left" vertical="center" wrapText="1" indent="1"/>
    </xf>
    <xf numFmtId="0" fontId="14" fillId="4" borderId="0" xfId="0" applyFont="1" applyFill="1" applyAlignment="1">
      <alignment horizontal="left" vertical="center" indent="1"/>
    </xf>
    <xf numFmtId="164" fontId="14" fillId="4" borderId="4" xfId="0" applyNumberFormat="1" applyFont="1" applyFill="1" applyBorder="1" applyAlignment="1">
      <alignment horizontal="right" vertical="center" wrapText="1" indent="1"/>
    </xf>
    <xf numFmtId="164" fontId="14" fillId="4" borderId="8" xfId="0" applyNumberFormat="1" applyFont="1" applyFill="1" applyBorder="1" applyAlignment="1">
      <alignment horizontal="right" vertical="center" wrapText="1" indent="1"/>
    </xf>
    <xf numFmtId="1" fontId="14" fillId="4" borderId="4" xfId="0" applyNumberFormat="1" applyFont="1" applyFill="1" applyBorder="1" applyAlignment="1">
      <alignment horizontal="right" vertical="center" wrapText="1" indent="1"/>
    </xf>
    <xf numFmtId="0" fontId="14" fillId="6" borderId="4" xfId="0" applyFont="1" applyFill="1" applyBorder="1" applyAlignment="1">
      <alignment horizontal="right" vertical="center" wrapText="1" indent="1"/>
    </xf>
    <xf numFmtId="1" fontId="14" fillId="5" borderId="1" xfId="0" applyNumberFormat="1" applyFont="1" applyFill="1" applyBorder="1" applyAlignment="1">
      <alignment horizontal="right" vertical="center" wrapText="1" indent="1"/>
    </xf>
    <xf numFmtId="1" fontId="4" fillId="11"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164" fontId="20" fillId="2" borderId="1" xfId="0" applyNumberFormat="1" applyFont="1" applyFill="1" applyBorder="1" applyAlignment="1">
      <alignment horizontal="left" vertical="center" wrapText="1" indent="1"/>
    </xf>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4">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A2D072"/>
      <color rgb="FF007134"/>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Volcanoes!$F$7</c:f>
              <c:strCache>
                <c:ptCount val="1"/>
                <c:pt idx="0">
                  <c:v>Start Date</c:v>
                </c:pt>
              </c:strCache>
            </c:strRef>
          </c:tx>
          <c:spPr>
            <a:noFill/>
            <a:ln>
              <a:noFill/>
            </a:ln>
            <a:effectLst/>
          </c:spPr>
          <c:invertIfNegative val="0"/>
          <c:cat>
            <c:strRef>
              <c:f>Volcanoes!$C$8:$C$40</c:f>
              <c:strCache>
                <c:ptCount val="33"/>
                <c:pt idx="0">
                  <c:v>Ausar</c:v>
                </c:pt>
                <c:pt idx="1">
                  <c:v>#31 Create Alert class</c:v>
                </c:pt>
                <c:pt idx="2">
                  <c:v>Created FeedService Class, Created NotificationService Class</c:v>
                </c:pt>
                <c:pt idx="3">
                  <c:v>Integrated Services into Event Cancellation Workflow</c:v>
                </c:pt>
                <c:pt idx="4">
                  <c:v>Add unit tests for FeedService, EventCancellationService, CalendarSyncService</c:v>
                </c:pt>
                <c:pt idx="5">
                  <c:v>Event Cancellation System (: Xavier University Event Cancellation System,Add EventCancellationManager with cancel and undo functionality,: Add Event Cancellation Manager with undo functionality)</c:v>
                </c:pt>
                <c:pt idx="6">
                  <c:v>User Story #8: Alert Subscription System</c:v>
                </c:pt>
                <c:pt idx="7">
                  <c:v>Evaluate Dr. Edwards via Class Climate </c:v>
                </c:pt>
                <c:pt idx="8">
                  <c:v>Evaluate team using Brightspace survey</c:v>
                </c:pt>
                <c:pt idx="9">
                  <c:v>Ja'Nya</c:v>
                </c:pt>
                <c:pt idx="10">
                  <c:v>Update README with prioritized projects</c:v>
                </c:pt>
                <c:pt idx="11">
                  <c:v>User Story #2</c:v>
                </c:pt>
                <c:pt idx="12">
                  <c:v>User Story #32</c:v>
                </c:pt>
                <c:pt idx="13">
                  <c:v>User Story #35</c:v>
                </c:pt>
                <c:pt idx="14">
                  <c:v>User Story #33</c:v>
                </c:pt>
                <c:pt idx="15">
                  <c:v>User Story #6</c:v>
                </c:pt>
                <c:pt idx="16">
                  <c:v>User Story #37</c:v>
                </c:pt>
                <c:pt idx="17">
                  <c:v>Evaluate Dr. Edwards via Class Climate </c:v>
                </c:pt>
                <c:pt idx="18">
                  <c:v>Evaluate team using Brightspace survey</c:v>
                </c:pt>
                <c:pt idx="19">
                  <c:v>Jon</c:v>
                </c:pt>
                <c:pt idx="20">
                  <c:v># Create CPSC_event class</c:v>
                </c:pt>
                <c:pt idx="31">
                  <c:v>Evaluate Dr. Edwards via Class Climate </c:v>
                </c:pt>
                <c:pt idx="32">
                  <c:v>Evaluate team using Brightspace survey</c:v>
                </c:pt>
              </c:strCache>
            </c:strRef>
          </c:cat>
          <c:val>
            <c:numRef>
              <c:f>Volcanoes!$F$8:$F$40</c:f>
              <c:numCache>
                <c:formatCode>m/d;@</c:formatCode>
                <c:ptCount val="33"/>
                <c:pt idx="0">
                  <c:v>45979</c:v>
                </c:pt>
                <c:pt idx="1">
                  <c:v>45979</c:v>
                </c:pt>
                <c:pt idx="2">
                  <c:v>45985</c:v>
                </c:pt>
                <c:pt idx="3">
                  <c:v>45985</c:v>
                </c:pt>
                <c:pt idx="4">
                  <c:v>45985</c:v>
                </c:pt>
                <c:pt idx="5">
                  <c:v>45985</c:v>
                </c:pt>
                <c:pt idx="6">
                  <c:v>45985</c:v>
                </c:pt>
                <c:pt idx="7">
                  <c:v>45983</c:v>
                </c:pt>
                <c:pt idx="8">
                  <c:v>45992</c:v>
                </c:pt>
                <c:pt idx="9">
                  <c:v>45971</c:v>
                </c:pt>
                <c:pt idx="10">
                  <c:v>45971</c:v>
                </c:pt>
                <c:pt idx="11">
                  <c:v>45986</c:v>
                </c:pt>
                <c:pt idx="12">
                  <c:v>45991</c:v>
                </c:pt>
                <c:pt idx="13">
                  <c:v>45980</c:v>
                </c:pt>
                <c:pt idx="14">
                  <c:v>45979</c:v>
                </c:pt>
                <c:pt idx="15">
                  <c:v>45979</c:v>
                </c:pt>
                <c:pt idx="16">
                  <c:v>45986</c:v>
                </c:pt>
                <c:pt idx="17">
                  <c:v>45983</c:v>
                </c:pt>
                <c:pt idx="18">
                  <c:v>45992</c:v>
                </c:pt>
                <c:pt idx="19">
                  <c:v>45979</c:v>
                </c:pt>
                <c:pt idx="20">
                  <c:v>45979</c:v>
                </c:pt>
                <c:pt idx="31">
                  <c:v>45983</c:v>
                </c:pt>
                <c:pt idx="32">
                  <c:v>45992</c:v>
                </c:pt>
              </c:numCache>
            </c:numRef>
          </c:val>
          <c:extLst>
            <c:ext xmlns:c16="http://schemas.microsoft.com/office/drawing/2014/chart" uri="{C3380CC4-5D6E-409C-BE32-E72D297353CC}">
              <c16:uniqueId val="{00000000-8C3B-6B4E-8271-047982C56358}"/>
            </c:ext>
          </c:extLst>
        </c:ser>
        <c:ser>
          <c:idx val="1"/>
          <c:order val="1"/>
          <c:tx>
            <c:strRef>
              <c:f>Volcanoes!$H$7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7134">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A2D072">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A2D072">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A2D072">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A2D072">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A2D072">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FFC00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Volcanoes!$C$8:$C$40</c:f>
              <c:strCache>
                <c:ptCount val="33"/>
                <c:pt idx="0">
                  <c:v>Ausar</c:v>
                </c:pt>
                <c:pt idx="1">
                  <c:v>#31 Create Alert class</c:v>
                </c:pt>
                <c:pt idx="2">
                  <c:v>Created FeedService Class, Created NotificationService Class</c:v>
                </c:pt>
                <c:pt idx="3">
                  <c:v>Integrated Services into Event Cancellation Workflow</c:v>
                </c:pt>
                <c:pt idx="4">
                  <c:v>Add unit tests for FeedService, EventCancellationService, CalendarSyncService</c:v>
                </c:pt>
                <c:pt idx="5">
                  <c:v>Event Cancellation System (: Xavier University Event Cancellation System,Add EventCancellationManager with cancel and undo functionality,: Add Event Cancellation Manager with undo functionality)</c:v>
                </c:pt>
                <c:pt idx="6">
                  <c:v>User Story #8: Alert Subscription System</c:v>
                </c:pt>
                <c:pt idx="7">
                  <c:v>Evaluate Dr. Edwards via Class Climate </c:v>
                </c:pt>
                <c:pt idx="8">
                  <c:v>Evaluate team using Brightspace survey</c:v>
                </c:pt>
                <c:pt idx="9">
                  <c:v>Ja'Nya</c:v>
                </c:pt>
                <c:pt idx="10">
                  <c:v>Update README with prioritized projects</c:v>
                </c:pt>
                <c:pt idx="11">
                  <c:v>User Story #2</c:v>
                </c:pt>
                <c:pt idx="12">
                  <c:v>User Story #32</c:v>
                </c:pt>
                <c:pt idx="13">
                  <c:v>User Story #35</c:v>
                </c:pt>
                <c:pt idx="14">
                  <c:v>User Story #33</c:v>
                </c:pt>
                <c:pt idx="15">
                  <c:v>User Story #6</c:v>
                </c:pt>
                <c:pt idx="16">
                  <c:v>User Story #37</c:v>
                </c:pt>
                <c:pt idx="17">
                  <c:v>Evaluate Dr. Edwards via Class Climate </c:v>
                </c:pt>
                <c:pt idx="18">
                  <c:v>Evaluate team using Brightspace survey</c:v>
                </c:pt>
                <c:pt idx="19">
                  <c:v>Jon</c:v>
                </c:pt>
                <c:pt idx="20">
                  <c:v># Create CPSC_event class</c:v>
                </c:pt>
                <c:pt idx="31">
                  <c:v>Evaluate Dr. Edwards via Class Climate </c:v>
                </c:pt>
                <c:pt idx="32">
                  <c:v>Evaluate team using Brightspace survey</c:v>
                </c:pt>
              </c:strCache>
            </c:strRef>
          </c:cat>
          <c:val>
            <c:numRef>
              <c:f>Volcanoes!$H$8:$H$40</c:f>
              <c:numCache>
                <c:formatCode>0</c:formatCode>
                <c:ptCount val="33"/>
                <c:pt idx="0">
                  <c:v>21</c:v>
                </c:pt>
                <c:pt idx="1">
                  <c:v>1</c:v>
                </c:pt>
                <c:pt idx="2">
                  <c:v>6</c:v>
                </c:pt>
                <c:pt idx="3">
                  <c:v>6</c:v>
                </c:pt>
                <c:pt idx="4">
                  <c:v>6</c:v>
                </c:pt>
                <c:pt idx="5">
                  <c:v>6</c:v>
                </c:pt>
                <c:pt idx="6">
                  <c:v>6</c:v>
                </c:pt>
                <c:pt idx="7">
                  <c:v>17</c:v>
                </c:pt>
                <c:pt idx="8">
                  <c:v>1</c:v>
                </c:pt>
                <c:pt idx="9">
                  <c:v>29</c:v>
                </c:pt>
                <c:pt idx="10">
                  <c:v>1</c:v>
                </c:pt>
                <c:pt idx="11">
                  <c:v>6</c:v>
                </c:pt>
                <c:pt idx="12">
                  <c:v>2</c:v>
                </c:pt>
                <c:pt idx="13">
                  <c:v>1</c:v>
                </c:pt>
                <c:pt idx="14">
                  <c:v>1</c:v>
                </c:pt>
                <c:pt idx="15">
                  <c:v>8</c:v>
                </c:pt>
                <c:pt idx="16">
                  <c:v>1</c:v>
                </c:pt>
                <c:pt idx="17">
                  <c:v>17</c:v>
                </c:pt>
                <c:pt idx="18">
                  <c:v>1</c:v>
                </c:pt>
                <c:pt idx="19" formatCode="General">
                  <c:v>21</c:v>
                </c:pt>
                <c:pt idx="20">
                  <c:v>1</c:v>
                </c:pt>
                <c:pt idx="31">
                  <c:v>17</c:v>
                </c:pt>
                <c:pt idx="32">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241300</xdr:colOff>
      <xdr:row>40</xdr:row>
      <xdr:rowOff>114300</xdr:rowOff>
    </xdr:from>
    <xdr:to>
      <xdr:col>8</xdr:col>
      <xdr:colOff>3860800</xdr:colOff>
      <xdr:row>42</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63500</xdr:colOff>
      <xdr:row>7</xdr:row>
      <xdr:rowOff>254000</xdr:rowOff>
    </xdr:from>
    <xdr:to>
      <xdr:col>15</xdr:col>
      <xdr:colOff>12700</xdr:colOff>
      <xdr:row>11</xdr:row>
      <xdr:rowOff>444500</xdr:rowOff>
    </xdr:to>
    <xdr:pic>
      <xdr:nvPicPr>
        <xdr:cNvPr id="3" name="Picture 2">
          <a:extLst>
            <a:ext uri="{FF2B5EF4-FFF2-40B4-BE49-F238E27FC236}">
              <a16:creationId xmlns:a16="http://schemas.microsoft.com/office/drawing/2014/main" id="{BF64561C-3891-3AEE-474D-114573C1398E}"/>
            </a:ext>
          </a:extLst>
        </xdr:cNvPr>
        <xdr:cNvPicPr>
          <a:picLocks noChangeAspect="1"/>
        </xdr:cNvPicPr>
      </xdr:nvPicPr>
      <xdr:blipFill>
        <a:blip xmlns:r="http://schemas.openxmlformats.org/officeDocument/2006/relationships" r:embed="rId2"/>
        <a:stretch>
          <a:fillRect/>
        </a:stretch>
      </xdr:blipFill>
      <xdr:spPr>
        <a:xfrm>
          <a:off x="16713200" y="2806700"/>
          <a:ext cx="4533900" cy="2298700"/>
        </a:xfrm>
        <a:prstGeom prst="rect">
          <a:avLst/>
        </a:prstGeom>
      </xdr:spPr>
    </xdr:pic>
    <xdr:clientData/>
  </xdr:twoCellAnchor>
  <xdr:twoCellAnchor editAs="oneCell">
    <xdr:from>
      <xdr:col>9</xdr:col>
      <xdr:colOff>63500</xdr:colOff>
      <xdr:row>16</xdr:row>
      <xdr:rowOff>292100</xdr:rowOff>
    </xdr:from>
    <xdr:to>
      <xdr:col>15</xdr:col>
      <xdr:colOff>25400</xdr:colOff>
      <xdr:row>21</xdr:row>
      <xdr:rowOff>393700</xdr:rowOff>
    </xdr:to>
    <xdr:pic>
      <xdr:nvPicPr>
        <xdr:cNvPr id="4" name="Picture 3">
          <a:extLst>
            <a:ext uri="{FF2B5EF4-FFF2-40B4-BE49-F238E27FC236}">
              <a16:creationId xmlns:a16="http://schemas.microsoft.com/office/drawing/2014/main" id="{A7D92A4E-457A-BC51-198B-828AAA79C654}"/>
            </a:ext>
          </a:extLst>
        </xdr:cNvPr>
        <xdr:cNvPicPr>
          <a:picLocks noChangeAspect="1"/>
        </xdr:cNvPicPr>
      </xdr:nvPicPr>
      <xdr:blipFill>
        <a:blip xmlns:r="http://schemas.openxmlformats.org/officeDocument/2006/relationships" r:embed="rId3"/>
        <a:stretch>
          <a:fillRect/>
        </a:stretch>
      </xdr:blipFill>
      <xdr:spPr>
        <a:xfrm>
          <a:off x="16713200" y="10172700"/>
          <a:ext cx="4546600" cy="2260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086"/>
  <sheetViews>
    <sheetView showGridLines="0" tabSelected="1" workbookViewId="0">
      <pane ySplit="1" topLeftCell="A36" activePane="bottomLeft" state="frozen"/>
      <selection pane="bottomLeft" activeCell="A41" sqref="A41:XFD41"/>
    </sheetView>
  </sheetViews>
  <sheetFormatPr baseColWidth="10" defaultColWidth="11" defaultRowHeight="13" outlineLevelRow="1" x14ac:dyDescent="0.15"/>
  <cols>
    <col min="1" max="1" width="3.33203125" style="6" customWidth="1"/>
    <col min="2" max="2" width="24.1640625" style="6" customWidth="1"/>
    <col min="3" max="3" width="57" style="6" bestFit="1" customWidth="1"/>
    <col min="4" max="4" width="12.83203125" style="6" customWidth="1"/>
    <col min="5" max="5" width="22.33203125" style="6" bestFit="1" customWidth="1"/>
    <col min="6" max="6" width="12.6640625" style="34" customWidth="1"/>
    <col min="7" max="7" width="11.83203125" style="34" customWidth="1"/>
    <col min="8" max="8" width="10.6640625" style="6" customWidth="1"/>
    <col min="9" max="9" width="63.6640625" style="6" customWidth="1"/>
    <col min="10" max="10" width="3.33203125" style="6" customWidth="1"/>
    <col min="11" max="11" width="12.83203125" style="6" customWidth="1"/>
    <col min="12" max="17" width="11" style="6"/>
    <col min="18" max="18" width="9" style="6" customWidth="1"/>
    <col min="19" max="22" width="11" style="6"/>
    <col min="23" max="23" width="51.83203125" style="6" customWidth="1"/>
    <col min="24" max="16384" width="11" style="6"/>
  </cols>
  <sheetData>
    <row r="1" spans="1:258" ht="57" customHeight="1" x14ac:dyDescent="0.2">
      <c r="A1" s="1"/>
      <c r="B1" s="27" t="s">
        <v>17</v>
      </c>
      <c r="D1"/>
      <c r="E1"/>
      <c r="F1" s="29"/>
      <c r="G1" s="29"/>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8" customFormat="1" ht="18" customHeight="1" x14ac:dyDescent="0.2">
      <c r="A2" s="17"/>
      <c r="B2" s="17"/>
      <c r="C2" s="17" t="s">
        <v>5</v>
      </c>
      <c r="D2" s="17"/>
      <c r="E2" s="17" t="s">
        <v>7</v>
      </c>
      <c r="F2" s="30"/>
      <c r="G2" s="30"/>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c r="FS2" s="17"/>
      <c r="FT2" s="17"/>
      <c r="FU2" s="17"/>
      <c r="FV2" s="17"/>
      <c r="FW2" s="17"/>
      <c r="FX2" s="17"/>
      <c r="FY2" s="17"/>
      <c r="FZ2" s="17"/>
      <c r="GA2" s="17"/>
      <c r="GB2" s="17"/>
      <c r="GC2" s="17"/>
      <c r="GD2" s="17"/>
      <c r="GE2" s="17"/>
      <c r="GF2" s="17"/>
      <c r="GG2" s="17"/>
      <c r="GH2" s="17"/>
      <c r="GI2" s="17"/>
      <c r="GJ2" s="17"/>
      <c r="GK2" s="17"/>
      <c r="GL2" s="17"/>
      <c r="GM2" s="17"/>
      <c r="GN2" s="17"/>
      <c r="GO2" s="17"/>
      <c r="GP2" s="17"/>
      <c r="GQ2" s="17"/>
      <c r="GR2" s="17"/>
      <c r="GS2" s="17"/>
      <c r="GT2" s="17"/>
      <c r="GU2" s="17"/>
      <c r="GV2" s="17"/>
      <c r="GW2" s="17"/>
      <c r="GX2" s="17"/>
      <c r="GY2" s="17"/>
      <c r="GZ2" s="17"/>
      <c r="HA2" s="17"/>
      <c r="HB2" s="17"/>
      <c r="HC2" s="17"/>
      <c r="HD2" s="17"/>
      <c r="HE2" s="17"/>
      <c r="HF2" s="17"/>
      <c r="HG2" s="17"/>
      <c r="HH2" s="17"/>
      <c r="HI2" s="17"/>
      <c r="HJ2" s="17"/>
      <c r="HK2" s="17"/>
      <c r="HL2" s="17"/>
      <c r="HM2" s="17"/>
      <c r="HN2" s="17"/>
      <c r="HO2" s="17"/>
      <c r="HP2" s="17"/>
      <c r="HQ2" s="17"/>
      <c r="HR2" s="17"/>
      <c r="HS2" s="17"/>
      <c r="HT2" s="17"/>
      <c r="HU2" s="17"/>
      <c r="HV2" s="17"/>
      <c r="HW2" s="17"/>
      <c r="HX2" s="17"/>
      <c r="HY2" s="17"/>
      <c r="HZ2" s="17"/>
      <c r="IA2" s="17"/>
      <c r="IB2" s="17"/>
      <c r="IC2" s="17"/>
      <c r="ID2" s="17"/>
      <c r="IE2" s="17"/>
      <c r="IF2" s="17"/>
      <c r="IG2" s="17"/>
      <c r="IH2" s="17"/>
      <c r="II2" s="17"/>
      <c r="IJ2" s="17"/>
      <c r="IK2" s="17"/>
      <c r="IL2" s="17"/>
      <c r="IM2" s="17"/>
      <c r="IN2" s="17"/>
      <c r="IO2" s="17"/>
      <c r="IP2" s="17"/>
      <c r="IQ2" s="17"/>
      <c r="IR2" s="17"/>
      <c r="IS2" s="17"/>
      <c r="IT2" s="17"/>
      <c r="IU2" s="17"/>
      <c r="IV2" s="17"/>
      <c r="IW2" s="17"/>
      <c r="IX2" s="17"/>
    </row>
    <row r="3" spans="1:258" ht="30" customHeight="1" thickBot="1" x14ac:dyDescent="0.2">
      <c r="A3" s="1"/>
      <c r="B3" s="1"/>
      <c r="C3" s="19" t="s">
        <v>18</v>
      </c>
      <c r="D3" s="1"/>
      <c r="E3" s="25">
        <v>45970</v>
      </c>
      <c r="F3" s="31"/>
      <c r="G3" s="31"/>
      <c r="H3" s="1" t="s">
        <v>8</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8" customFormat="1" ht="18" customHeight="1" thickBot="1" x14ac:dyDescent="0.25">
      <c r="A4" s="17"/>
      <c r="B4" s="17"/>
      <c r="C4" s="20" t="s">
        <v>28</v>
      </c>
      <c r="D4" s="17"/>
      <c r="E4" s="20" t="s">
        <v>6</v>
      </c>
      <c r="F4" s="30"/>
      <c r="G4" s="30"/>
      <c r="H4" s="17" t="s">
        <v>4</v>
      </c>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7"/>
      <c r="FV4" s="17"/>
      <c r="FW4" s="17"/>
      <c r="FX4" s="17"/>
      <c r="FY4" s="17"/>
      <c r="FZ4" s="17"/>
      <c r="GA4" s="17"/>
      <c r="GB4" s="17"/>
      <c r="GC4" s="17"/>
      <c r="GD4" s="17"/>
      <c r="GE4" s="17"/>
      <c r="GF4" s="17"/>
      <c r="GG4" s="17"/>
      <c r="GH4" s="17"/>
      <c r="GI4" s="17"/>
      <c r="GJ4" s="17"/>
      <c r="GK4" s="17"/>
      <c r="GL4" s="17"/>
      <c r="GM4" s="17"/>
      <c r="GN4" s="17"/>
      <c r="GO4" s="17"/>
      <c r="GP4" s="17"/>
      <c r="GQ4" s="17"/>
      <c r="GR4" s="17"/>
      <c r="GS4" s="17"/>
      <c r="GT4" s="17"/>
      <c r="GU4" s="17"/>
      <c r="GV4" s="17"/>
      <c r="GW4" s="17"/>
      <c r="GX4" s="17"/>
      <c r="GY4" s="17"/>
      <c r="GZ4" s="17"/>
      <c r="HA4" s="17"/>
      <c r="HB4" s="17"/>
      <c r="HC4" s="17"/>
      <c r="HD4" s="17"/>
      <c r="HE4" s="17"/>
      <c r="HF4" s="17"/>
      <c r="HG4" s="17"/>
      <c r="HH4" s="17"/>
      <c r="HI4" s="17"/>
      <c r="HJ4" s="17"/>
      <c r="HK4" s="17"/>
      <c r="HL4" s="17"/>
      <c r="HM4" s="17"/>
      <c r="HN4" s="17"/>
      <c r="HO4" s="17"/>
      <c r="HP4" s="17"/>
      <c r="HQ4" s="17"/>
      <c r="HR4" s="17"/>
      <c r="HS4" s="17"/>
      <c r="HT4" s="17"/>
      <c r="HU4" s="17"/>
      <c r="HV4" s="17"/>
      <c r="HW4" s="17"/>
      <c r="HX4" s="17"/>
      <c r="HY4" s="17"/>
      <c r="HZ4" s="17"/>
      <c r="IA4" s="17"/>
      <c r="IB4" s="17"/>
      <c r="IC4" s="17"/>
      <c r="ID4" s="17"/>
      <c r="IE4" s="17"/>
      <c r="IF4" s="17"/>
      <c r="IG4" s="17"/>
      <c r="IH4" s="17"/>
      <c r="II4" s="17"/>
      <c r="IJ4" s="17"/>
      <c r="IK4" s="17"/>
      <c r="IL4" s="17"/>
      <c r="IM4" s="17"/>
      <c r="IN4" s="17"/>
      <c r="IO4" s="17"/>
      <c r="IP4" s="17"/>
      <c r="IQ4" s="17"/>
      <c r="IR4" s="17"/>
      <c r="IS4" s="17"/>
      <c r="IT4" s="17"/>
      <c r="IU4" s="17"/>
      <c r="IV4" s="17"/>
      <c r="IW4" s="17"/>
      <c r="IX4" s="17"/>
    </row>
    <row r="5" spans="1:258" ht="30" customHeight="1" thickBot="1" x14ac:dyDescent="0.2">
      <c r="A5" s="1"/>
      <c r="B5" s="1"/>
      <c r="C5" s="24" t="s">
        <v>19</v>
      </c>
      <c r="D5" s="1"/>
      <c r="E5" s="25">
        <v>45992</v>
      </c>
      <c r="F5" s="31"/>
      <c r="G5" s="31"/>
      <c r="H5" s="26">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1"/>
      <c r="F6" s="31"/>
      <c r="G6" s="31"/>
      <c r="H6" s="2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0" customFormat="1" ht="35" customHeight="1" thickBot="1" x14ac:dyDescent="0.2">
      <c r="A7" s="9"/>
      <c r="B7" s="22"/>
      <c r="C7" s="22" t="s">
        <v>12</v>
      </c>
      <c r="D7" s="22" t="s">
        <v>10</v>
      </c>
      <c r="E7" s="22" t="s">
        <v>13</v>
      </c>
      <c r="F7" s="32" t="s">
        <v>7</v>
      </c>
      <c r="G7" s="33" t="s">
        <v>6</v>
      </c>
      <c r="H7" s="28" t="s">
        <v>11</v>
      </c>
      <c r="I7" s="22" t="s">
        <v>9</v>
      </c>
      <c r="J7" s="9"/>
      <c r="K7" s="1"/>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c r="IW7" s="9"/>
      <c r="IX7" s="9"/>
    </row>
    <row r="8" spans="1:258" s="49" customFormat="1" ht="25" customHeight="1" x14ac:dyDescent="0.15">
      <c r="A8" s="41"/>
      <c r="B8" s="56"/>
      <c r="C8" s="57" t="s">
        <v>20</v>
      </c>
      <c r="D8" s="23"/>
      <c r="E8" s="23"/>
      <c r="F8" s="58">
        <f>MIN(F9:F16)</f>
        <v>45979</v>
      </c>
      <c r="G8" s="59">
        <f>MAX(G9:G16)</f>
        <v>45999</v>
      </c>
      <c r="H8" s="60">
        <f>IF(F8=0,0,G8-F8)+1</f>
        <v>21</v>
      </c>
      <c r="I8" s="23"/>
      <c r="J8" s="41"/>
      <c r="K8" s="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1"/>
      <c r="CC8" s="41"/>
      <c r="CD8" s="41"/>
      <c r="CE8" s="41"/>
      <c r="CF8" s="41"/>
      <c r="CG8" s="41"/>
      <c r="CH8" s="41"/>
      <c r="CI8" s="41"/>
      <c r="CJ8" s="41"/>
      <c r="CK8" s="41"/>
      <c r="CL8" s="41"/>
      <c r="CM8" s="41"/>
      <c r="CN8" s="41"/>
      <c r="CO8" s="41"/>
      <c r="CP8" s="41"/>
      <c r="CQ8" s="41"/>
      <c r="CR8" s="41"/>
      <c r="CS8" s="41"/>
      <c r="CT8" s="41"/>
      <c r="CU8" s="41"/>
      <c r="CV8" s="41"/>
      <c r="CW8" s="41"/>
      <c r="CX8" s="41"/>
      <c r="CY8" s="41"/>
      <c r="CZ8" s="41"/>
      <c r="DA8" s="41"/>
      <c r="DB8" s="41"/>
      <c r="DC8" s="41"/>
      <c r="DD8" s="41"/>
      <c r="DE8" s="41"/>
      <c r="DF8" s="41"/>
      <c r="DG8" s="41"/>
      <c r="DH8" s="41"/>
      <c r="DI8" s="41"/>
      <c r="DJ8" s="41"/>
      <c r="DK8" s="41"/>
      <c r="DL8" s="41"/>
      <c r="DM8" s="41"/>
      <c r="DN8" s="41"/>
      <c r="DO8" s="41"/>
      <c r="DP8" s="41"/>
      <c r="DQ8" s="41"/>
      <c r="DR8" s="41"/>
      <c r="DS8" s="41"/>
      <c r="DT8" s="41"/>
      <c r="DU8" s="41"/>
      <c r="DV8" s="41"/>
      <c r="DW8" s="41"/>
      <c r="DX8" s="41"/>
      <c r="DY8" s="41"/>
      <c r="DZ8" s="41"/>
      <c r="EA8" s="41"/>
      <c r="EB8" s="41"/>
      <c r="EC8" s="41"/>
      <c r="ED8" s="41"/>
      <c r="EE8" s="41"/>
      <c r="EF8" s="41"/>
      <c r="EG8" s="41"/>
      <c r="EH8" s="41"/>
      <c r="EI8" s="41"/>
      <c r="EJ8" s="41"/>
      <c r="EK8" s="41"/>
      <c r="EL8" s="41"/>
      <c r="EM8" s="41"/>
      <c r="EN8" s="41"/>
      <c r="EO8" s="41"/>
      <c r="EP8" s="41"/>
      <c r="EQ8" s="41"/>
      <c r="ER8" s="41"/>
      <c r="ES8" s="41"/>
      <c r="ET8" s="41"/>
      <c r="EU8" s="41"/>
      <c r="EV8" s="41"/>
      <c r="EW8" s="41"/>
      <c r="EX8" s="41"/>
      <c r="EY8" s="41"/>
      <c r="EZ8" s="41"/>
      <c r="FA8" s="41"/>
      <c r="FB8" s="41"/>
      <c r="FC8" s="41"/>
      <c r="FD8" s="41"/>
      <c r="FE8" s="41"/>
      <c r="FF8" s="41"/>
      <c r="FG8" s="41"/>
      <c r="FH8" s="41"/>
      <c r="FI8" s="41"/>
      <c r="FJ8" s="41"/>
      <c r="FK8" s="41"/>
      <c r="FL8" s="41"/>
      <c r="FM8" s="41"/>
      <c r="FN8" s="41"/>
      <c r="FO8" s="41"/>
      <c r="FP8" s="41"/>
      <c r="FQ8" s="41"/>
      <c r="FR8" s="41"/>
      <c r="FS8" s="41"/>
      <c r="FT8" s="41"/>
      <c r="FU8" s="41"/>
      <c r="FV8" s="41"/>
      <c r="FW8" s="41"/>
      <c r="FX8" s="41"/>
      <c r="FY8" s="41"/>
      <c r="FZ8" s="41"/>
      <c r="GA8" s="41"/>
      <c r="GB8" s="41"/>
      <c r="GC8" s="41"/>
      <c r="GD8" s="41"/>
      <c r="GE8" s="41"/>
      <c r="GF8" s="41"/>
      <c r="GG8" s="41"/>
      <c r="GH8" s="41"/>
      <c r="GI8" s="41"/>
      <c r="GJ8" s="41"/>
      <c r="GK8" s="41"/>
      <c r="GL8" s="41"/>
      <c r="GM8" s="41"/>
      <c r="GN8" s="41"/>
      <c r="GO8" s="41"/>
      <c r="GP8" s="41"/>
      <c r="GQ8" s="41"/>
      <c r="GR8" s="41"/>
      <c r="GS8" s="41"/>
      <c r="GT8" s="41"/>
      <c r="GU8" s="41"/>
      <c r="GV8" s="41"/>
      <c r="GW8" s="41"/>
      <c r="GX8" s="41"/>
      <c r="GY8" s="41"/>
      <c r="GZ8" s="41"/>
      <c r="HA8" s="41"/>
      <c r="HB8" s="41"/>
      <c r="HC8" s="41"/>
      <c r="HD8" s="41"/>
      <c r="HE8" s="41"/>
      <c r="HF8" s="41"/>
      <c r="HG8" s="41"/>
      <c r="HH8" s="41"/>
      <c r="HI8" s="41"/>
      <c r="HJ8" s="41"/>
      <c r="HK8" s="41"/>
      <c r="HL8" s="41"/>
      <c r="HM8" s="41"/>
      <c r="HN8" s="41"/>
      <c r="HO8" s="41"/>
      <c r="HP8" s="41"/>
      <c r="HQ8" s="41"/>
      <c r="HR8" s="41"/>
      <c r="HS8" s="41"/>
      <c r="HT8" s="41"/>
      <c r="HU8" s="41"/>
      <c r="HV8" s="41"/>
      <c r="HW8" s="41"/>
      <c r="HX8" s="41"/>
      <c r="HY8" s="41"/>
      <c r="HZ8" s="41"/>
      <c r="IA8" s="41"/>
      <c r="IB8" s="41"/>
      <c r="IC8" s="41"/>
      <c r="ID8" s="41"/>
      <c r="IE8" s="41"/>
      <c r="IF8" s="41"/>
      <c r="IG8" s="41"/>
      <c r="IH8" s="41"/>
      <c r="II8" s="41"/>
      <c r="IJ8" s="41"/>
      <c r="IK8" s="41"/>
      <c r="IL8" s="41"/>
      <c r="IM8" s="41"/>
      <c r="IN8" s="41"/>
      <c r="IO8" s="41"/>
      <c r="IP8" s="41"/>
      <c r="IQ8" s="41"/>
      <c r="IR8" s="41"/>
      <c r="IS8" s="41"/>
      <c r="IT8" s="41"/>
      <c r="IU8" s="41"/>
      <c r="IV8" s="41"/>
      <c r="IW8" s="41"/>
      <c r="IX8" s="41"/>
    </row>
    <row r="9" spans="1:258" s="8" customFormat="1" ht="42" outlineLevel="1" x14ac:dyDescent="0.15">
      <c r="A9" s="7"/>
      <c r="B9" s="2" t="s">
        <v>56</v>
      </c>
      <c r="C9" s="13" t="s">
        <v>27</v>
      </c>
      <c r="D9" s="3" t="s">
        <v>0</v>
      </c>
      <c r="E9" s="12" t="s">
        <v>24</v>
      </c>
      <c r="F9" s="35">
        <v>45979</v>
      </c>
      <c r="G9" s="35">
        <v>45979</v>
      </c>
      <c r="H9" s="39">
        <f>IF(OR(F9=0, ISBLANK(F9)),0,G9-F9+1)</f>
        <v>1</v>
      </c>
      <c r="I9" s="2"/>
      <c r="J9" s="7"/>
      <c r="K9" s="1"/>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c r="IW9" s="7"/>
      <c r="IX9" s="7"/>
    </row>
    <row r="10" spans="1:258" s="8" customFormat="1" ht="84" outlineLevel="1" x14ac:dyDescent="0.15">
      <c r="A10" s="7"/>
      <c r="B10" s="2" t="s">
        <v>57</v>
      </c>
      <c r="C10" s="13" t="s">
        <v>58</v>
      </c>
      <c r="D10" s="3" t="s">
        <v>0</v>
      </c>
      <c r="E10" s="12" t="s">
        <v>29</v>
      </c>
      <c r="F10" s="35">
        <v>45985</v>
      </c>
      <c r="G10" s="35">
        <v>45991</v>
      </c>
      <c r="H10" s="39">
        <v>6</v>
      </c>
      <c r="I10" s="2"/>
      <c r="J10" s="7"/>
      <c r="K10" s="1"/>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c r="IW10" s="7"/>
      <c r="IX10" s="7"/>
    </row>
    <row r="11" spans="1:258" s="8" customFormat="1" ht="15" outlineLevel="1" x14ac:dyDescent="0.15">
      <c r="A11" s="7"/>
      <c r="B11" s="2" t="s">
        <v>59</v>
      </c>
      <c r="C11" s="13" t="s">
        <v>30</v>
      </c>
      <c r="D11" s="3" t="s">
        <v>0</v>
      </c>
      <c r="E11" s="12" t="s">
        <v>31</v>
      </c>
      <c r="F11" s="35">
        <v>45985</v>
      </c>
      <c r="G11" s="35">
        <v>45991</v>
      </c>
      <c r="H11" s="39">
        <v>6</v>
      </c>
      <c r="I11" s="2"/>
      <c r="J11" s="7"/>
      <c r="K11" s="1"/>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row>
    <row r="12" spans="1:258" s="8" customFormat="1" ht="168" outlineLevel="1" x14ac:dyDescent="0.15">
      <c r="A12" s="7"/>
      <c r="B12" s="2" t="s">
        <v>60</v>
      </c>
      <c r="C12" s="13" t="s">
        <v>32</v>
      </c>
      <c r="D12" s="3" t="s">
        <v>0</v>
      </c>
      <c r="E12" s="12" t="s">
        <v>33</v>
      </c>
      <c r="F12" s="35">
        <v>45985</v>
      </c>
      <c r="G12" s="35">
        <v>45991</v>
      </c>
      <c r="H12" s="39">
        <v>6</v>
      </c>
      <c r="I12" s="2"/>
      <c r="J12" s="7"/>
      <c r="K12" s="1"/>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c r="IW12" s="7"/>
      <c r="IX12" s="7"/>
    </row>
    <row r="13" spans="1:258" s="8" customFormat="1" ht="114" customHeight="1" outlineLevel="1" x14ac:dyDescent="0.15">
      <c r="A13" s="7"/>
      <c r="B13" s="2" t="s">
        <v>61</v>
      </c>
      <c r="C13" s="13" t="s">
        <v>34</v>
      </c>
      <c r="D13" s="3" t="s">
        <v>0</v>
      </c>
      <c r="E13" s="12" t="s">
        <v>35</v>
      </c>
      <c r="F13" s="35">
        <v>45985</v>
      </c>
      <c r="G13" s="35">
        <v>45991</v>
      </c>
      <c r="H13" s="39">
        <v>6</v>
      </c>
      <c r="I13" s="2"/>
      <c r="J13" s="7"/>
      <c r="K13" s="1"/>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7"/>
      <c r="IN13" s="7"/>
      <c r="IO13" s="7"/>
      <c r="IP13" s="7"/>
      <c r="IQ13" s="7"/>
      <c r="IR13" s="7"/>
      <c r="IS13" s="7"/>
      <c r="IT13" s="7"/>
      <c r="IU13" s="7"/>
      <c r="IV13" s="7"/>
      <c r="IW13" s="7"/>
      <c r="IX13" s="7"/>
    </row>
    <row r="14" spans="1:258" s="8" customFormat="1" ht="98" outlineLevel="1" x14ac:dyDescent="0.15">
      <c r="A14" s="7"/>
      <c r="B14" s="2" t="s">
        <v>63</v>
      </c>
      <c r="C14" s="13" t="s">
        <v>36</v>
      </c>
      <c r="D14" s="3" t="s">
        <v>0</v>
      </c>
      <c r="E14" s="12" t="s">
        <v>62</v>
      </c>
      <c r="F14" s="35">
        <v>45985</v>
      </c>
      <c r="G14" s="35">
        <v>45991</v>
      </c>
      <c r="H14" s="39">
        <v>6</v>
      </c>
      <c r="I14" s="2"/>
      <c r="J14" s="7"/>
      <c r="K14" s="1"/>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c r="IW14" s="7"/>
      <c r="IX14" s="7"/>
    </row>
    <row r="15" spans="1:258" s="8" customFormat="1" ht="15" outlineLevel="1" x14ac:dyDescent="0.15">
      <c r="A15" s="7"/>
      <c r="B15" s="2"/>
      <c r="C15" s="13" t="s">
        <v>15</v>
      </c>
      <c r="D15" s="3" t="s">
        <v>3</v>
      </c>
      <c r="E15" s="12"/>
      <c r="F15" s="35">
        <v>45983</v>
      </c>
      <c r="G15" s="35">
        <v>45999</v>
      </c>
      <c r="H15" s="39">
        <f>IF(OR(F15=0, ISBLANK(F15)),0,G15-F15+1)</f>
        <v>17</v>
      </c>
      <c r="I15" s="2"/>
      <c r="J15" s="7"/>
      <c r="K15" s="1"/>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row>
    <row r="16" spans="1:258" s="8" customFormat="1" ht="16" outlineLevel="1" thickBot="1" x14ac:dyDescent="0.2">
      <c r="A16" s="7"/>
      <c r="B16" s="15"/>
      <c r="C16" s="13" t="s">
        <v>14</v>
      </c>
      <c r="D16" s="14" t="s">
        <v>3</v>
      </c>
      <c r="E16" s="16"/>
      <c r="F16" s="37">
        <v>45992</v>
      </c>
      <c r="G16" s="38">
        <v>45992</v>
      </c>
      <c r="H16" s="39">
        <f>IF(OR(F16=0, ISBLANK(F16)),0,G16-F16+1)</f>
        <v>1</v>
      </c>
      <c r="I16" s="15"/>
      <c r="J16" s="7"/>
      <c r="K16" s="1"/>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c r="IW16" s="7"/>
      <c r="IX16" s="7"/>
    </row>
    <row r="17" spans="1:258" s="49" customFormat="1" ht="25" customHeight="1" x14ac:dyDescent="0.15">
      <c r="A17" s="41"/>
      <c r="B17" s="50"/>
      <c r="C17" s="50" t="s">
        <v>21</v>
      </c>
      <c r="D17" s="51"/>
      <c r="E17" s="52"/>
      <c r="F17" s="53">
        <f>MIN(F18:F26)</f>
        <v>45971</v>
      </c>
      <c r="G17" s="54">
        <f>MAX(G18:G26)</f>
        <v>45999</v>
      </c>
      <c r="H17" s="62">
        <f t="shared" ref="H17:H40" si="0">IF(OR(F17=0, ISBLANK(F17)),0,G17-F17+1)</f>
        <v>29</v>
      </c>
      <c r="I17" s="55"/>
      <c r="J17" s="41"/>
      <c r="K17" s="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41"/>
      <c r="EJ17" s="41"/>
      <c r="EK17" s="41"/>
      <c r="EL17" s="41"/>
      <c r="EM17" s="41"/>
      <c r="EN17" s="41"/>
      <c r="EO17" s="41"/>
      <c r="EP17" s="41"/>
      <c r="EQ17" s="41"/>
      <c r="ER17" s="41"/>
      <c r="ES17" s="41"/>
      <c r="ET17" s="41"/>
      <c r="EU17" s="41"/>
      <c r="EV17" s="41"/>
      <c r="EW17" s="41"/>
      <c r="EX17" s="41"/>
      <c r="EY17" s="41"/>
      <c r="EZ17" s="41"/>
      <c r="FA17" s="41"/>
      <c r="FB17" s="41"/>
      <c r="FC17" s="41"/>
      <c r="FD17" s="41"/>
      <c r="FE17" s="41"/>
      <c r="FF17" s="41"/>
      <c r="FG17" s="41"/>
      <c r="FH17" s="41"/>
      <c r="FI17" s="41"/>
      <c r="FJ17" s="41"/>
      <c r="FK17" s="41"/>
      <c r="FL17" s="41"/>
      <c r="FM17" s="41"/>
      <c r="FN17" s="41"/>
      <c r="FO17" s="41"/>
      <c r="FP17" s="41"/>
      <c r="FQ17" s="41"/>
      <c r="FR17" s="41"/>
      <c r="FS17" s="41"/>
      <c r="FT17" s="41"/>
      <c r="FU17" s="41"/>
      <c r="FV17" s="41"/>
      <c r="FW17" s="41"/>
      <c r="FX17" s="41"/>
      <c r="FY17" s="41"/>
      <c r="FZ17" s="41"/>
      <c r="GA17" s="41"/>
      <c r="GB17" s="41"/>
      <c r="GC17" s="41"/>
      <c r="GD17" s="41"/>
      <c r="GE17" s="41"/>
      <c r="GF17" s="41"/>
      <c r="GG17" s="41"/>
      <c r="GH17" s="41"/>
      <c r="GI17" s="41"/>
      <c r="GJ17" s="41"/>
      <c r="GK17" s="41"/>
      <c r="GL17" s="41"/>
      <c r="GM17" s="41"/>
      <c r="GN17" s="41"/>
      <c r="GO17" s="41"/>
      <c r="GP17" s="41"/>
      <c r="GQ17" s="41"/>
      <c r="GR17" s="41"/>
      <c r="GS17" s="41"/>
      <c r="GT17" s="41"/>
      <c r="GU17" s="41"/>
      <c r="GV17" s="41"/>
      <c r="GW17" s="41"/>
      <c r="GX17" s="41"/>
      <c r="GY17" s="41"/>
      <c r="GZ17" s="41"/>
      <c r="HA17" s="41"/>
      <c r="HB17" s="41"/>
      <c r="HC17" s="41"/>
      <c r="HD17" s="41"/>
      <c r="HE17" s="41"/>
      <c r="HF17" s="41"/>
      <c r="HG17" s="41"/>
      <c r="HH17" s="41"/>
      <c r="HI17" s="41"/>
      <c r="HJ17" s="41"/>
      <c r="HK17" s="41"/>
      <c r="HL17" s="41"/>
      <c r="HM17" s="41"/>
      <c r="HN17" s="41"/>
      <c r="HO17" s="41"/>
      <c r="HP17" s="41"/>
      <c r="HQ17" s="41"/>
      <c r="HR17" s="41"/>
      <c r="HS17" s="41"/>
      <c r="HT17" s="41"/>
      <c r="HU17" s="41"/>
      <c r="HV17" s="41"/>
      <c r="HW17" s="41"/>
      <c r="HX17" s="41"/>
      <c r="HY17" s="41"/>
      <c r="HZ17" s="41"/>
      <c r="IA17" s="41"/>
      <c r="IB17" s="41"/>
      <c r="IC17" s="41"/>
      <c r="ID17" s="41"/>
      <c r="IE17" s="41"/>
      <c r="IF17" s="41"/>
      <c r="IG17" s="41"/>
      <c r="IH17" s="41"/>
      <c r="II17" s="41"/>
      <c r="IJ17" s="41"/>
      <c r="IK17" s="41"/>
      <c r="IL17" s="41"/>
      <c r="IM17" s="41"/>
      <c r="IN17" s="41"/>
      <c r="IO17" s="41"/>
      <c r="IP17" s="41"/>
      <c r="IQ17" s="41"/>
      <c r="IR17" s="41"/>
      <c r="IS17" s="41"/>
      <c r="IT17" s="41"/>
      <c r="IU17" s="41"/>
      <c r="IV17" s="41"/>
      <c r="IW17" s="41"/>
      <c r="IX17" s="41"/>
    </row>
    <row r="18" spans="1:258" s="8" customFormat="1" ht="25" customHeight="1" outlineLevel="1" x14ac:dyDescent="0.15">
      <c r="A18" s="7"/>
      <c r="B18" s="2" t="s">
        <v>46</v>
      </c>
      <c r="C18" s="13" t="s">
        <v>65</v>
      </c>
      <c r="D18" s="3" t="s">
        <v>0</v>
      </c>
      <c r="E18" s="12" t="s">
        <v>23</v>
      </c>
      <c r="F18" s="35">
        <v>45971</v>
      </c>
      <c r="G18" s="35">
        <v>45971</v>
      </c>
      <c r="H18" s="40">
        <f t="shared" si="0"/>
        <v>1</v>
      </c>
      <c r="I18" s="2"/>
      <c r="J18" s="7"/>
      <c r="K18" s="1"/>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c r="IW18" s="7"/>
      <c r="IX18" s="7"/>
    </row>
    <row r="19" spans="1:258" s="8" customFormat="1" ht="70" outlineLevel="1" x14ac:dyDescent="0.15">
      <c r="A19" s="7"/>
      <c r="B19" s="2" t="s">
        <v>48</v>
      </c>
      <c r="C19" s="13" t="s">
        <v>37</v>
      </c>
      <c r="D19" s="3" t="s">
        <v>0</v>
      </c>
      <c r="E19" s="12" t="s">
        <v>47</v>
      </c>
      <c r="F19" s="35">
        <v>45986</v>
      </c>
      <c r="G19" s="35">
        <v>45991</v>
      </c>
      <c r="H19" s="40">
        <f t="shared" si="0"/>
        <v>6</v>
      </c>
      <c r="I19" s="2"/>
      <c r="J19" s="7"/>
      <c r="K19" s="1"/>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c r="IW19" s="7"/>
      <c r="IX19" s="7"/>
    </row>
    <row r="20" spans="1:258" s="8" customFormat="1" ht="25" customHeight="1" outlineLevel="1" x14ac:dyDescent="0.15">
      <c r="A20" s="7"/>
      <c r="B20" s="2" t="s">
        <v>50</v>
      </c>
      <c r="C20" s="13" t="s">
        <v>38</v>
      </c>
      <c r="D20" s="3" t="s">
        <v>0</v>
      </c>
      <c r="E20" s="12" t="s">
        <v>49</v>
      </c>
      <c r="F20" s="35">
        <v>45991</v>
      </c>
      <c r="G20" s="35">
        <v>45992</v>
      </c>
      <c r="H20" s="40">
        <f t="shared" si="0"/>
        <v>2</v>
      </c>
      <c r="I20" s="2"/>
      <c r="J20" s="7"/>
      <c r="K20" s="1"/>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c r="IW20" s="7"/>
      <c r="IX20" s="7"/>
    </row>
    <row r="21" spans="1:258" s="8" customFormat="1" ht="25" customHeight="1" outlineLevel="1" x14ac:dyDescent="0.15">
      <c r="A21" s="7"/>
      <c r="B21" s="2" t="s">
        <v>51</v>
      </c>
      <c r="C21" s="13" t="s">
        <v>39</v>
      </c>
      <c r="D21" s="3" t="s">
        <v>0</v>
      </c>
      <c r="E21" s="12" t="s">
        <v>40</v>
      </c>
      <c r="F21" s="35">
        <v>45980</v>
      </c>
      <c r="G21" s="35">
        <v>45980</v>
      </c>
      <c r="H21" s="40">
        <f t="shared" si="0"/>
        <v>1</v>
      </c>
      <c r="I21" s="2"/>
      <c r="J21" s="7"/>
      <c r="K21" s="1"/>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c r="IW21" s="7"/>
      <c r="IX21" s="7"/>
    </row>
    <row r="22" spans="1:258" s="8" customFormat="1" ht="77" customHeight="1" outlineLevel="1" x14ac:dyDescent="0.15">
      <c r="A22" s="7"/>
      <c r="B22" s="2" t="s">
        <v>52</v>
      </c>
      <c r="C22" s="13" t="s">
        <v>41</v>
      </c>
      <c r="D22" s="3" t="s">
        <v>0</v>
      </c>
      <c r="E22" s="12" t="s">
        <v>42</v>
      </c>
      <c r="F22" s="35">
        <v>45979</v>
      </c>
      <c r="G22" s="35">
        <v>45979</v>
      </c>
      <c r="H22" s="40">
        <f t="shared" si="0"/>
        <v>1</v>
      </c>
      <c r="I22" s="2"/>
      <c r="J22" s="7"/>
      <c r="K22" s="1"/>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row>
    <row r="23" spans="1:258" s="8" customFormat="1" ht="25" customHeight="1" outlineLevel="1" x14ac:dyDescent="0.15">
      <c r="A23" s="7"/>
      <c r="B23" s="2" t="s">
        <v>53</v>
      </c>
      <c r="C23" s="13" t="s">
        <v>43</v>
      </c>
      <c r="D23" s="3" t="s">
        <v>0</v>
      </c>
      <c r="E23" s="12" t="s">
        <v>44</v>
      </c>
      <c r="F23" s="35">
        <v>45979</v>
      </c>
      <c r="G23" s="35">
        <v>45986</v>
      </c>
      <c r="H23" s="40">
        <f t="shared" si="0"/>
        <v>8</v>
      </c>
      <c r="I23" s="2"/>
      <c r="J23" s="7"/>
      <c r="K23" s="1"/>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row>
    <row r="24" spans="1:258" s="8" customFormat="1" ht="25" customHeight="1" outlineLevel="1" x14ac:dyDescent="0.15">
      <c r="A24" s="7"/>
      <c r="B24" s="2" t="s">
        <v>55</v>
      </c>
      <c r="C24" s="13" t="s">
        <v>45</v>
      </c>
      <c r="D24" s="3" t="s">
        <v>0</v>
      </c>
      <c r="E24" s="65" t="s">
        <v>54</v>
      </c>
      <c r="F24" s="35">
        <v>45986</v>
      </c>
      <c r="G24" s="35">
        <v>45986</v>
      </c>
      <c r="H24" s="40">
        <f t="shared" si="0"/>
        <v>1</v>
      </c>
      <c r="I24" s="2"/>
      <c r="J24" s="7"/>
      <c r="K24" s="1"/>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c r="IW24" s="7"/>
      <c r="IX24" s="7"/>
    </row>
    <row r="25" spans="1:258" s="8" customFormat="1" ht="25" customHeight="1" outlineLevel="1" x14ac:dyDescent="0.15">
      <c r="A25" s="7"/>
      <c r="B25" s="2"/>
      <c r="C25" s="13" t="s">
        <v>15</v>
      </c>
      <c r="D25" s="3" t="s">
        <v>0</v>
      </c>
      <c r="E25" s="12"/>
      <c r="F25" s="35">
        <v>45983</v>
      </c>
      <c r="G25" s="35">
        <v>45999</v>
      </c>
      <c r="H25" s="40">
        <f t="shared" si="0"/>
        <v>17</v>
      </c>
      <c r="I25" s="2"/>
      <c r="J25" s="7"/>
      <c r="K25" s="1"/>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c r="IW25" s="7"/>
      <c r="IX25" s="7"/>
    </row>
    <row r="26" spans="1:258" s="8" customFormat="1" ht="25" customHeight="1" outlineLevel="1" x14ac:dyDescent="0.15">
      <c r="A26" s="7"/>
      <c r="B26" s="2"/>
      <c r="C26" s="13" t="s">
        <v>14</v>
      </c>
      <c r="D26" s="3" t="s">
        <v>3</v>
      </c>
      <c r="E26" s="12"/>
      <c r="F26" s="35">
        <v>45992</v>
      </c>
      <c r="G26" s="35">
        <v>45992</v>
      </c>
      <c r="H26" s="40">
        <f t="shared" si="0"/>
        <v>1</v>
      </c>
      <c r="I26" s="2"/>
      <c r="J26" s="7"/>
      <c r="K26" s="1"/>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c r="IW26" s="7"/>
      <c r="IX26" s="7"/>
    </row>
    <row r="27" spans="1:258" s="49" customFormat="1" ht="25" customHeight="1" x14ac:dyDescent="0.15">
      <c r="A27" s="41"/>
      <c r="B27" s="42"/>
      <c r="C27" s="42" t="s">
        <v>22</v>
      </c>
      <c r="D27" s="43"/>
      <c r="E27" s="44"/>
      <c r="F27" s="45">
        <f>MIN(F28:F40)</f>
        <v>45979</v>
      </c>
      <c r="G27" s="46">
        <f>MAX(G28:G40)</f>
        <v>45999</v>
      </c>
      <c r="H27" s="61">
        <f t="shared" si="0"/>
        <v>21</v>
      </c>
      <c r="I27" s="47"/>
      <c r="J27" s="41"/>
      <c r="K27" s="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c r="CA27" s="41"/>
      <c r="CB27" s="41"/>
      <c r="CC27" s="41"/>
      <c r="CD27" s="41"/>
      <c r="CE27" s="41"/>
      <c r="CF27" s="41"/>
      <c r="CG27" s="41"/>
      <c r="CH27" s="41"/>
      <c r="CI27" s="41"/>
      <c r="CJ27" s="41"/>
      <c r="CK27" s="41"/>
      <c r="CL27" s="41"/>
      <c r="CM27" s="41"/>
      <c r="CN27" s="41"/>
      <c r="CO27" s="41"/>
      <c r="CP27" s="41"/>
      <c r="CQ27" s="41"/>
      <c r="CR27" s="41"/>
      <c r="CS27" s="41"/>
      <c r="CT27" s="41"/>
      <c r="CU27" s="41"/>
      <c r="CV27" s="41"/>
      <c r="CW27" s="41"/>
      <c r="CX27" s="41"/>
      <c r="CY27" s="41"/>
      <c r="CZ27" s="41"/>
      <c r="DA27" s="41"/>
      <c r="DB27" s="41"/>
      <c r="DC27" s="41"/>
      <c r="DD27" s="41"/>
      <c r="DE27" s="41"/>
      <c r="DF27" s="41"/>
      <c r="DG27" s="41"/>
      <c r="DH27" s="41"/>
      <c r="DI27" s="41"/>
      <c r="DJ27" s="41"/>
      <c r="DK27" s="41"/>
      <c r="DL27" s="41"/>
      <c r="DM27" s="41"/>
      <c r="DN27" s="41"/>
      <c r="DO27" s="41"/>
      <c r="DP27" s="41"/>
      <c r="DQ27" s="41"/>
      <c r="DR27" s="41"/>
      <c r="DS27" s="41"/>
      <c r="DT27" s="41"/>
      <c r="DU27" s="41"/>
      <c r="DV27" s="41"/>
      <c r="DW27" s="41"/>
      <c r="DX27" s="41"/>
      <c r="DY27" s="41"/>
      <c r="DZ27" s="41"/>
      <c r="EA27" s="41"/>
      <c r="EB27" s="41"/>
      <c r="EC27" s="41"/>
      <c r="ED27" s="41"/>
      <c r="EE27" s="41"/>
      <c r="EF27" s="41"/>
      <c r="EG27" s="41"/>
      <c r="EH27" s="41"/>
      <c r="EI27" s="41"/>
      <c r="EJ27" s="41"/>
      <c r="EK27" s="41"/>
      <c r="EL27" s="41"/>
      <c r="EM27" s="41"/>
      <c r="EN27" s="41"/>
      <c r="EO27" s="41"/>
      <c r="EP27" s="41"/>
      <c r="EQ27" s="41"/>
      <c r="ER27" s="41"/>
      <c r="ES27" s="41"/>
      <c r="ET27" s="41"/>
      <c r="EU27" s="41"/>
      <c r="EV27" s="41"/>
      <c r="EW27" s="41"/>
      <c r="EX27" s="41"/>
      <c r="EY27" s="41"/>
      <c r="EZ27" s="41"/>
      <c r="FA27" s="41"/>
      <c r="FB27" s="41"/>
      <c r="FC27" s="41"/>
      <c r="FD27" s="41"/>
      <c r="FE27" s="41"/>
      <c r="FF27" s="41"/>
      <c r="FG27" s="41"/>
      <c r="FH27" s="41"/>
      <c r="FI27" s="41"/>
      <c r="FJ27" s="41"/>
      <c r="FK27" s="41"/>
      <c r="FL27" s="41"/>
      <c r="FM27" s="41"/>
      <c r="FN27" s="41"/>
      <c r="FO27" s="41"/>
      <c r="FP27" s="41"/>
      <c r="FQ27" s="41"/>
      <c r="FR27" s="41"/>
      <c r="FS27" s="41"/>
      <c r="FT27" s="41"/>
      <c r="FU27" s="41"/>
      <c r="FV27" s="41"/>
      <c r="FW27" s="41"/>
      <c r="FX27" s="41"/>
      <c r="FY27" s="41"/>
      <c r="FZ27" s="41"/>
      <c r="GA27" s="41"/>
      <c r="GB27" s="41"/>
      <c r="GC27" s="41"/>
      <c r="GD27" s="41"/>
      <c r="GE27" s="41"/>
      <c r="GF27" s="41"/>
      <c r="GG27" s="41"/>
      <c r="GH27" s="41"/>
      <c r="GI27" s="41"/>
      <c r="GJ27" s="41"/>
      <c r="GK27" s="41"/>
      <c r="GL27" s="41"/>
      <c r="GM27" s="41"/>
      <c r="GN27" s="41"/>
      <c r="GO27" s="41"/>
      <c r="GP27" s="41"/>
      <c r="GQ27" s="41"/>
      <c r="GR27" s="41"/>
      <c r="GS27" s="41"/>
      <c r="GT27" s="41"/>
      <c r="GU27" s="41"/>
      <c r="GV27" s="41"/>
      <c r="GW27" s="41"/>
      <c r="GX27" s="41"/>
      <c r="GY27" s="41"/>
      <c r="GZ27" s="41"/>
      <c r="HA27" s="41"/>
      <c r="HB27" s="41"/>
      <c r="HC27" s="41"/>
      <c r="HD27" s="41"/>
      <c r="HE27" s="41"/>
      <c r="HF27" s="41"/>
      <c r="HG27" s="41"/>
      <c r="HH27" s="41"/>
      <c r="HI27" s="41"/>
      <c r="HJ27" s="41"/>
      <c r="HK27" s="41"/>
      <c r="HL27" s="41"/>
      <c r="HM27" s="41"/>
      <c r="HN27" s="41"/>
      <c r="HO27" s="41"/>
      <c r="HP27" s="41"/>
      <c r="HQ27" s="41"/>
      <c r="HR27" s="41"/>
      <c r="HS27" s="41"/>
      <c r="HT27" s="41"/>
      <c r="HU27" s="41"/>
      <c r="HV27" s="41"/>
      <c r="HW27" s="41"/>
      <c r="HX27" s="41"/>
      <c r="HY27" s="41"/>
      <c r="HZ27" s="41"/>
      <c r="IA27" s="41"/>
      <c r="IB27" s="41"/>
      <c r="IC27" s="41"/>
      <c r="ID27" s="41"/>
      <c r="IE27" s="41"/>
      <c r="IF27" s="41"/>
      <c r="IG27" s="41"/>
      <c r="IH27" s="41"/>
      <c r="II27" s="41"/>
      <c r="IJ27" s="41"/>
      <c r="IK27" s="41"/>
      <c r="IL27" s="41"/>
      <c r="IM27" s="41"/>
      <c r="IN27" s="41"/>
      <c r="IO27" s="41"/>
      <c r="IP27" s="41"/>
      <c r="IQ27" s="41"/>
      <c r="IR27" s="41"/>
      <c r="IS27" s="41"/>
      <c r="IT27" s="41"/>
      <c r="IU27" s="41"/>
      <c r="IV27" s="41"/>
      <c r="IW27" s="41"/>
      <c r="IX27" s="41"/>
    </row>
    <row r="28" spans="1:258" s="8" customFormat="1" ht="28" outlineLevel="1" x14ac:dyDescent="0.15">
      <c r="A28" s="7"/>
      <c r="B28" s="2"/>
      <c r="C28" s="13" t="s">
        <v>25</v>
      </c>
      <c r="D28" s="3" t="s">
        <v>2</v>
      </c>
      <c r="E28" s="11" t="s">
        <v>26</v>
      </c>
      <c r="F28" s="35">
        <v>45979</v>
      </c>
      <c r="G28" s="36">
        <v>45979</v>
      </c>
      <c r="H28" s="63">
        <f t="shared" si="0"/>
        <v>1</v>
      </c>
      <c r="I28" s="64" t="s">
        <v>64</v>
      </c>
      <c r="J28" s="7"/>
      <c r="K28" s="1"/>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c r="IW28" s="7"/>
      <c r="IX28" s="7"/>
    </row>
    <row r="29" spans="1:258" s="8" customFormat="1" ht="25" customHeight="1" outlineLevel="1" x14ac:dyDescent="0.15">
      <c r="A29" s="7"/>
      <c r="B29" s="2"/>
      <c r="C29" s="13"/>
      <c r="D29" s="3"/>
      <c r="E29" s="11"/>
      <c r="F29" s="35"/>
      <c r="G29" s="35"/>
      <c r="H29" s="63"/>
      <c r="I29" s="2"/>
      <c r="J29" s="7"/>
      <c r="K29" s="1"/>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c r="IP29" s="7"/>
      <c r="IQ29" s="7"/>
      <c r="IR29" s="7"/>
      <c r="IS29" s="7"/>
      <c r="IT29" s="7"/>
      <c r="IU29" s="7"/>
      <c r="IV29" s="7"/>
      <c r="IW29" s="7"/>
      <c r="IX29" s="7"/>
    </row>
    <row r="30" spans="1:258" s="8" customFormat="1" ht="25" customHeight="1" outlineLevel="1" x14ac:dyDescent="0.15">
      <c r="A30" s="7"/>
      <c r="B30" s="2"/>
      <c r="C30" s="13"/>
      <c r="D30" s="3"/>
      <c r="E30" s="11"/>
      <c r="F30" s="35"/>
      <c r="G30" s="35"/>
      <c r="H30" s="63"/>
      <c r="I30" s="2"/>
      <c r="J30" s="7"/>
      <c r="K30" s="1"/>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c r="IO30" s="7"/>
      <c r="IP30" s="7"/>
      <c r="IQ30" s="7"/>
      <c r="IR30" s="7"/>
      <c r="IS30" s="7"/>
      <c r="IT30" s="7"/>
      <c r="IU30" s="7"/>
      <c r="IV30" s="7"/>
      <c r="IW30" s="7"/>
      <c r="IX30" s="7"/>
    </row>
    <row r="31" spans="1:258" s="8" customFormat="1" ht="25" customHeight="1" outlineLevel="1" x14ac:dyDescent="0.15">
      <c r="A31" s="7"/>
      <c r="B31" s="2"/>
      <c r="C31" s="13"/>
      <c r="D31" s="3"/>
      <c r="E31" s="11"/>
      <c r="F31" s="35"/>
      <c r="G31" s="35"/>
      <c r="H31" s="63"/>
      <c r="I31" s="2"/>
      <c r="J31" s="7"/>
      <c r="K31" s="1"/>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c r="IO31" s="7"/>
      <c r="IP31" s="7"/>
      <c r="IQ31" s="7"/>
      <c r="IR31" s="7"/>
      <c r="IS31" s="7"/>
      <c r="IT31" s="7"/>
      <c r="IU31" s="7"/>
      <c r="IV31" s="7"/>
      <c r="IW31" s="7"/>
      <c r="IX31" s="7"/>
    </row>
    <row r="32" spans="1:258" s="8" customFormat="1" ht="25" customHeight="1" outlineLevel="1" x14ac:dyDescent="0.15">
      <c r="A32" s="7"/>
      <c r="B32" s="2"/>
      <c r="C32" s="13"/>
      <c r="D32" s="3"/>
      <c r="E32" s="11"/>
      <c r="F32" s="35"/>
      <c r="G32" s="35"/>
      <c r="H32" s="63"/>
      <c r="I32" s="2"/>
      <c r="J32" s="7"/>
      <c r="K32" s="48"/>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c r="IO32" s="7"/>
      <c r="IP32" s="7"/>
      <c r="IQ32" s="7"/>
      <c r="IR32" s="7"/>
      <c r="IS32" s="7"/>
      <c r="IT32" s="7"/>
      <c r="IU32" s="7"/>
      <c r="IV32" s="7"/>
      <c r="IW32" s="7"/>
      <c r="IX32" s="7"/>
    </row>
    <row r="33" spans="1:258" s="8" customFormat="1" ht="25" customHeight="1" outlineLevel="1" x14ac:dyDescent="0.15">
      <c r="A33" s="7"/>
      <c r="B33" s="2"/>
      <c r="C33" s="13"/>
      <c r="D33" s="3"/>
      <c r="E33" s="11"/>
      <c r="F33" s="35"/>
      <c r="G33" s="35"/>
      <c r="H33" s="63"/>
      <c r="I33" s="2"/>
      <c r="J33" s="7"/>
      <c r="K33" s="1"/>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c r="IW33" s="7"/>
      <c r="IX33" s="7"/>
    </row>
    <row r="34" spans="1:258" s="8" customFormat="1" ht="25" customHeight="1" outlineLevel="1" x14ac:dyDescent="0.15">
      <c r="A34" s="7"/>
      <c r="B34" s="2"/>
      <c r="C34" s="13"/>
      <c r="D34" s="3"/>
      <c r="E34" s="11"/>
      <c r="F34" s="35"/>
      <c r="G34" s="35"/>
      <c r="H34" s="63"/>
      <c r="I34" s="2"/>
      <c r="J34" s="7"/>
      <c r="K34" s="1"/>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c r="IW34" s="7"/>
      <c r="IX34" s="7"/>
    </row>
    <row r="35" spans="1:258" s="8" customFormat="1" ht="25" customHeight="1" outlineLevel="1" x14ac:dyDescent="0.15">
      <c r="A35" s="7"/>
      <c r="B35" s="2"/>
      <c r="C35" s="13"/>
      <c r="D35" s="3"/>
      <c r="E35" s="11"/>
      <c r="F35" s="35"/>
      <c r="G35" s="35"/>
      <c r="H35" s="63"/>
      <c r="I35" s="2"/>
      <c r="J35" s="7"/>
      <c r="K35" s="1"/>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c r="IP35" s="7"/>
      <c r="IQ35" s="7"/>
      <c r="IR35" s="7"/>
      <c r="IS35" s="7"/>
      <c r="IT35" s="7"/>
      <c r="IU35" s="7"/>
      <c r="IV35" s="7"/>
      <c r="IW35" s="7"/>
      <c r="IX35" s="7"/>
    </row>
    <row r="36" spans="1:258" s="8" customFormat="1" ht="25" customHeight="1" outlineLevel="1" x14ac:dyDescent="0.15">
      <c r="A36" s="7"/>
      <c r="B36" s="2"/>
      <c r="C36" s="13"/>
      <c r="D36" s="3"/>
      <c r="E36" s="11"/>
      <c r="F36" s="35"/>
      <c r="G36" s="35"/>
      <c r="H36" s="63"/>
      <c r="I36" s="2"/>
      <c r="J36" s="7"/>
      <c r="K36" s="1"/>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7"/>
      <c r="IN36" s="7"/>
      <c r="IO36" s="7"/>
      <c r="IP36" s="7"/>
      <c r="IQ36" s="7"/>
      <c r="IR36" s="7"/>
      <c r="IS36" s="7"/>
      <c r="IT36" s="7"/>
      <c r="IU36" s="7"/>
      <c r="IV36" s="7"/>
      <c r="IW36" s="7"/>
      <c r="IX36" s="7"/>
    </row>
    <row r="37" spans="1:258" s="8" customFormat="1" ht="25" customHeight="1" outlineLevel="1" x14ac:dyDescent="0.15">
      <c r="A37" s="7"/>
      <c r="B37" s="2"/>
      <c r="C37" s="13"/>
      <c r="D37" s="3"/>
      <c r="E37" s="11"/>
      <c r="F37" s="35"/>
      <c r="G37" s="35"/>
      <c r="H37" s="63"/>
      <c r="I37" s="2"/>
      <c r="J37" s="7"/>
      <c r="K37" s="1"/>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c r="IG37" s="7"/>
      <c r="IH37" s="7"/>
      <c r="II37" s="7"/>
      <c r="IJ37" s="7"/>
      <c r="IK37" s="7"/>
      <c r="IL37" s="7"/>
      <c r="IM37" s="7"/>
      <c r="IN37" s="7"/>
      <c r="IO37" s="7"/>
      <c r="IP37" s="7"/>
      <c r="IQ37" s="7"/>
      <c r="IR37" s="7"/>
      <c r="IS37" s="7"/>
      <c r="IT37" s="7"/>
      <c r="IU37" s="7"/>
      <c r="IV37" s="7"/>
      <c r="IW37" s="7"/>
      <c r="IX37" s="7"/>
    </row>
    <row r="38" spans="1:258" s="8" customFormat="1" ht="25" customHeight="1" outlineLevel="1" x14ac:dyDescent="0.15">
      <c r="A38" s="7"/>
      <c r="B38" s="2"/>
      <c r="C38" s="13"/>
      <c r="D38" s="3"/>
      <c r="E38" s="11"/>
      <c r="F38" s="35"/>
      <c r="G38" s="35"/>
      <c r="H38" s="63"/>
      <c r="I38" s="2"/>
      <c r="J38" s="7"/>
      <c r="K38" s="1"/>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7"/>
      <c r="IN38" s="7"/>
      <c r="IO38" s="7"/>
      <c r="IP38" s="7"/>
      <c r="IQ38" s="7"/>
      <c r="IR38" s="7"/>
      <c r="IS38" s="7"/>
      <c r="IT38" s="7"/>
      <c r="IU38" s="7"/>
      <c r="IV38" s="7"/>
      <c r="IW38" s="7"/>
      <c r="IX38" s="7"/>
    </row>
    <row r="39" spans="1:258" s="8" customFormat="1" ht="25" customHeight="1" outlineLevel="1" x14ac:dyDescent="0.15">
      <c r="A39" s="7"/>
      <c r="B39" s="2"/>
      <c r="C39" s="13" t="s">
        <v>15</v>
      </c>
      <c r="D39" s="3" t="s">
        <v>3</v>
      </c>
      <c r="E39" s="12"/>
      <c r="F39" s="35">
        <v>45983</v>
      </c>
      <c r="G39" s="35">
        <v>45999</v>
      </c>
      <c r="H39" s="63">
        <f t="shared" si="0"/>
        <v>17</v>
      </c>
      <c r="I39" s="2"/>
      <c r="J39" s="7"/>
      <c r="K39" s="1"/>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c r="IJ39" s="7"/>
      <c r="IK39" s="7"/>
      <c r="IL39" s="7"/>
      <c r="IM39" s="7"/>
      <c r="IN39" s="7"/>
      <c r="IO39" s="7"/>
      <c r="IP39" s="7"/>
      <c r="IQ39" s="7"/>
      <c r="IR39" s="7"/>
      <c r="IS39" s="7"/>
      <c r="IT39" s="7"/>
      <c r="IU39" s="7"/>
      <c r="IV39" s="7"/>
      <c r="IW39" s="7"/>
      <c r="IX39" s="7"/>
    </row>
    <row r="40" spans="1:258" s="8" customFormat="1" ht="25" customHeight="1" outlineLevel="1" thickBot="1" x14ac:dyDescent="0.2">
      <c r="A40" s="7"/>
      <c r="B40" s="15"/>
      <c r="C40" s="13" t="s">
        <v>14</v>
      </c>
      <c r="D40" s="14" t="s">
        <v>3</v>
      </c>
      <c r="E40" s="16"/>
      <c r="F40" s="37">
        <v>45992</v>
      </c>
      <c r="G40" s="38">
        <v>45992</v>
      </c>
      <c r="H40" s="63">
        <f t="shared" si="0"/>
        <v>1</v>
      </c>
      <c r="I40" s="15"/>
      <c r="J40" s="7"/>
      <c r="K40" s="1"/>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c r="IW40" s="7"/>
      <c r="IX40" s="7"/>
    </row>
    <row r="41" spans="1:258" ht="409" customHeight="1" x14ac:dyDescent="0.15">
      <c r="A41" s="1"/>
      <c r="B41" s="1"/>
      <c r="C41" s="1"/>
      <c r="D41" s="1"/>
      <c r="E41" s="1"/>
      <c r="F41" s="31"/>
      <c r="G41" s="3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row>
    <row r="42" spans="1:258" ht="300" customHeight="1" x14ac:dyDescent="0.15">
      <c r="A42" s="1"/>
      <c r="B42" s="1"/>
      <c r="C42" s="1"/>
      <c r="D42" s="1"/>
      <c r="E42" s="1"/>
      <c r="F42" s="31"/>
      <c r="G42" s="3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row>
    <row r="43" spans="1:258" x14ac:dyDescent="0.15">
      <c r="A43" s="1"/>
      <c r="B43" s="1"/>
      <c r="C43" s="1"/>
      <c r="D43" s="1"/>
      <c r="E43" s="1"/>
      <c r="F43" s="31"/>
      <c r="G43" s="3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row>
    <row r="44" spans="1:258" x14ac:dyDescent="0.15">
      <c r="A44" s="1"/>
      <c r="B44" s="1"/>
      <c r="C44" s="1"/>
      <c r="D44" s="1"/>
      <c r="E44" s="1"/>
      <c r="F44" s="31"/>
      <c r="G44" s="3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row>
    <row r="45" spans="1:258" x14ac:dyDescent="0.15">
      <c r="A45" s="1"/>
      <c r="B45" s="1"/>
      <c r="C45" s="1"/>
      <c r="D45" s="1"/>
      <c r="E45" s="1"/>
      <c r="F45" s="31"/>
      <c r="G45" s="3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row>
    <row r="46" spans="1:258" x14ac:dyDescent="0.15">
      <c r="A46" s="1"/>
      <c r="B46" s="1"/>
      <c r="C46" s="1"/>
      <c r="D46" s="1"/>
      <c r="E46" s="1"/>
      <c r="F46" s="31"/>
      <c r="G46" s="3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row>
    <row r="47" spans="1:258" x14ac:dyDescent="0.15">
      <c r="A47" s="1"/>
      <c r="B47" s="1"/>
      <c r="C47" s="1"/>
      <c r="D47" s="1"/>
      <c r="E47" s="1"/>
      <c r="F47" s="31"/>
      <c r="G47" s="3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row>
    <row r="48" spans="1:258" x14ac:dyDescent="0.15">
      <c r="A48" s="1"/>
      <c r="B48" s="1"/>
      <c r="C48" s="1"/>
      <c r="D48" s="1"/>
      <c r="E48" s="1"/>
      <c r="F48" s="31"/>
      <c r="G48" s="3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row>
    <row r="49" spans="1:258" x14ac:dyDescent="0.15">
      <c r="A49" s="1"/>
      <c r="B49" s="1"/>
      <c r="C49" s="1"/>
      <c r="D49" s="1"/>
      <c r="E49" s="1"/>
      <c r="F49" s="31"/>
      <c r="G49" s="3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row>
    <row r="50" spans="1:258" x14ac:dyDescent="0.15">
      <c r="A50" s="1"/>
      <c r="B50" s="1"/>
      <c r="C50" s="1"/>
      <c r="D50" s="1"/>
      <c r="E50" s="1"/>
      <c r="F50" s="31"/>
      <c r="G50" s="3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row>
    <row r="51" spans="1:258" x14ac:dyDescent="0.15">
      <c r="A51" s="1"/>
      <c r="B51" s="1"/>
      <c r="C51" s="1"/>
      <c r="D51" s="1"/>
      <c r="E51" s="1"/>
      <c r="F51" s="31"/>
      <c r="G51" s="3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row>
    <row r="52" spans="1:258" x14ac:dyDescent="0.15">
      <c r="A52" s="1"/>
      <c r="B52" s="1"/>
      <c r="C52" s="1"/>
      <c r="D52" s="1"/>
      <c r="E52" s="1"/>
      <c r="F52" s="31"/>
      <c r="G52" s="3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row>
    <row r="53" spans="1:258" x14ac:dyDescent="0.15">
      <c r="A53" s="1"/>
      <c r="B53" s="1"/>
      <c r="C53" s="1"/>
      <c r="D53" s="1"/>
      <c r="E53" s="1"/>
      <c r="F53" s="31"/>
      <c r="G53" s="3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row>
    <row r="54" spans="1:258" x14ac:dyDescent="0.15">
      <c r="A54" s="1"/>
      <c r="B54" s="1"/>
      <c r="C54" s="1"/>
      <c r="D54" s="1"/>
      <c r="E54" s="1"/>
      <c r="F54" s="31"/>
      <c r="G54" s="3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row>
    <row r="55" spans="1:258" x14ac:dyDescent="0.15">
      <c r="A55" s="1"/>
      <c r="B55" s="1"/>
      <c r="C55" s="1"/>
      <c r="D55" s="1"/>
      <c r="E55" s="1"/>
      <c r="F55" s="31"/>
      <c r="G55" s="3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row>
    <row r="56" spans="1:258" x14ac:dyDescent="0.15">
      <c r="A56" s="1"/>
      <c r="B56" s="1"/>
      <c r="C56" s="1"/>
      <c r="D56" s="1"/>
      <c r="E56" s="1"/>
      <c r="F56" s="31"/>
      <c r="G56" s="3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row>
    <row r="57" spans="1:258" x14ac:dyDescent="0.15">
      <c r="A57" s="1"/>
      <c r="B57" s="1"/>
      <c r="C57" s="1"/>
      <c r="D57" s="1"/>
      <c r="E57" s="1"/>
      <c r="F57" s="31"/>
      <c r="G57" s="3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row>
    <row r="58" spans="1:258" x14ac:dyDescent="0.15">
      <c r="A58" s="1"/>
      <c r="B58" s="1"/>
      <c r="C58" s="1"/>
      <c r="D58" s="1"/>
      <c r="E58" s="1"/>
      <c r="F58" s="31"/>
      <c r="G58" s="3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row>
    <row r="59" spans="1:258" x14ac:dyDescent="0.15">
      <c r="A59" s="1"/>
      <c r="B59" s="1"/>
      <c r="C59" s="1"/>
      <c r="D59" s="1"/>
      <c r="E59" s="1"/>
      <c r="F59" s="31"/>
      <c r="G59" s="3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row>
    <row r="60" spans="1:258" x14ac:dyDescent="0.15">
      <c r="A60" s="1"/>
      <c r="B60" s="1"/>
      <c r="C60" s="1"/>
      <c r="D60" s="1"/>
      <c r="E60" s="1"/>
      <c r="F60" s="31"/>
      <c r="G60" s="3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row>
    <row r="61" spans="1:258" x14ac:dyDescent="0.15">
      <c r="A61" s="1"/>
      <c r="B61" s="1"/>
      <c r="C61" s="1"/>
      <c r="D61" s="1"/>
      <c r="E61" s="1"/>
      <c r="F61" s="31"/>
      <c r="G61" s="3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row>
    <row r="62" spans="1:258" x14ac:dyDescent="0.15">
      <c r="A62" s="1"/>
      <c r="B62" s="1"/>
      <c r="C62" s="1"/>
      <c r="D62" s="1"/>
      <c r="E62" s="1"/>
      <c r="F62" s="31"/>
      <c r="G62" s="3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row>
    <row r="63" spans="1:258" x14ac:dyDescent="0.15">
      <c r="A63" s="1"/>
      <c r="B63" s="1"/>
      <c r="C63" s="1"/>
      <c r="D63" s="1"/>
      <c r="E63" s="1"/>
      <c r="F63" s="31"/>
      <c r="G63" s="3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row>
    <row r="64" spans="1:258" x14ac:dyDescent="0.15">
      <c r="A64" s="1"/>
      <c r="B64" s="1"/>
      <c r="C64" s="1"/>
      <c r="D64" s="1"/>
      <c r="E64" s="1"/>
      <c r="F64" s="31"/>
      <c r="G64" s="3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x14ac:dyDescent="0.15">
      <c r="A65" s="1"/>
      <c r="B65" s="1"/>
      <c r="C65" s="1"/>
      <c r="D65" s="1"/>
      <c r="E65" s="1"/>
      <c r="F65" s="31"/>
      <c r="G65" s="3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1"/>
      <c r="G66" s="3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1"/>
      <c r="G67" s="3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1"/>
      <c r="G68" s="3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1"/>
      <c r="G69" s="3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1"/>
      <c r="G70" s="3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1"/>
      <c r="G71" s="3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1"/>
      <c r="G72" s="3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1"/>
      <c r="G73" s="3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1"/>
      <c r="G74" s="3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1"/>
      <c r="G75" s="3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1"/>
      <c r="G76" s="3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1"/>
      <c r="G77" s="3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1"/>
      <c r="G78" s="3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1"/>
      <c r="G79" s="3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1"/>
      <c r="G80" s="3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1"/>
      <c r="G81" s="3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1"/>
      <c r="G82" s="3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1"/>
      <c r="G83" s="3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1"/>
      <c r="G84" s="3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1"/>
      <c r="G85" s="3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1"/>
      <c r="G86" s="3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1"/>
      <c r="G87" s="3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1"/>
      <c r="G88" s="3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1"/>
      <c r="G89" s="3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1"/>
      <c r="G90" s="3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1"/>
      <c r="G91" s="3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1"/>
      <c r="G92" s="3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1"/>
      <c r="G93" s="3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1"/>
      <c r="G94" s="3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1"/>
      <c r="G95" s="3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1"/>
      <c r="G96" s="3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1"/>
      <c r="G97" s="3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1"/>
      <c r="G98" s="3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1"/>
      <c r="G99" s="3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1"/>
      <c r="G100" s="3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1"/>
      <c r="G101" s="3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1"/>
      <c r="G102" s="3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1"/>
      <c r="G103" s="3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1"/>
      <c r="G104" s="3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1"/>
      <c r="G105" s="3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1"/>
      <c r="G106" s="3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1"/>
      <c r="G107" s="3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1"/>
      <c r="G108" s="3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1"/>
      <c r="G109" s="3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1"/>
      <c r="G110" s="3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1"/>
      <c r="G111" s="3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1"/>
      <c r="G112" s="3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1"/>
      <c r="G113" s="3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1"/>
      <c r="G114" s="3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1"/>
      <c r="G115" s="3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1"/>
      <c r="G116" s="3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1"/>
      <c r="G117" s="3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1"/>
      <c r="G118" s="3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1"/>
      <c r="G119" s="3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1"/>
      <c r="G120" s="3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1"/>
      <c r="G121" s="3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1"/>
      <c r="G122" s="3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1"/>
      <c r="G123" s="3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1"/>
      <c r="G124" s="3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1"/>
      <c r="G125" s="3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1"/>
      <c r="G126" s="3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1"/>
      <c r="G127" s="3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1"/>
      <c r="G128" s="3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1"/>
      <c r="G129" s="3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1"/>
      <c r="G130" s="3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1"/>
      <c r="G131" s="3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1"/>
      <c r="G132" s="3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1"/>
      <c r="G133" s="3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1"/>
      <c r="G134" s="3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1"/>
      <c r="G135" s="3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1"/>
      <c r="G136" s="3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1"/>
      <c r="G137" s="3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1"/>
      <c r="G138" s="3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1"/>
      <c r="G139" s="3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1"/>
      <c r="G140" s="3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1"/>
      <c r="G141" s="3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1"/>
      <c r="G142" s="3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1"/>
      <c r="G143" s="3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1"/>
      <c r="G144" s="3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1"/>
      <c r="G145" s="3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1"/>
      <c r="G146" s="3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1"/>
      <c r="G147" s="3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1"/>
      <c r="G148" s="3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1"/>
      <c r="G149" s="3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1"/>
      <c r="G150" s="3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1"/>
      <c r="G151" s="3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1"/>
      <c r="G152" s="3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1"/>
      <c r="G153" s="3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1"/>
      <c r="G154" s="3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1"/>
      <c r="G155" s="3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1"/>
      <c r="G156" s="3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1"/>
      <c r="G157" s="3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1"/>
      <c r="G158" s="3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1"/>
      <c r="G159" s="3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1"/>
      <c r="G160" s="3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1"/>
      <c r="G161" s="3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1"/>
      <c r="G162" s="3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1"/>
      <c r="G163" s="3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1"/>
      <c r="G164" s="3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1"/>
      <c r="G165" s="3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1"/>
      <c r="G166" s="3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1"/>
      <c r="G167" s="3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1"/>
      <c r="G168" s="3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1"/>
      <c r="G169" s="3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1"/>
      <c r="G170" s="3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1"/>
      <c r="G171" s="3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1"/>
      <c r="G172" s="3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1"/>
      <c r="G173" s="3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1"/>
      <c r="G174" s="3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1"/>
      <c r="G175" s="3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1"/>
      <c r="G176" s="3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1"/>
      <c r="G177" s="3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1"/>
      <c r="G178" s="3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1"/>
      <c r="G179" s="3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1"/>
      <c r="G180" s="3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1"/>
      <c r="G181" s="3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1"/>
      <c r="G182" s="3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1"/>
      <c r="G183" s="3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1"/>
      <c r="G184" s="3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1"/>
      <c r="G185" s="3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1"/>
      <c r="G186" s="3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1"/>
      <c r="G187" s="3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1"/>
      <c r="G188" s="3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1"/>
      <c r="G189" s="3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1"/>
      <c r="G190" s="3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1"/>
      <c r="G191" s="3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1"/>
      <c r="G192" s="3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1"/>
      <c r="G193" s="3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1"/>
      <c r="G194" s="3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1"/>
      <c r="G195" s="3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1"/>
      <c r="G196" s="3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1"/>
      <c r="G197" s="3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1"/>
      <c r="G198" s="3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1"/>
      <c r="G199" s="3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1"/>
      <c r="G200" s="3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1"/>
      <c r="G201" s="3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1"/>
      <c r="G202" s="3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1"/>
      <c r="G203" s="3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1"/>
      <c r="G204" s="3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1"/>
      <c r="G205" s="3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1"/>
      <c r="G206" s="3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1"/>
      <c r="G207" s="3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1"/>
      <c r="G208" s="3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1"/>
      <c r="G209" s="3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1"/>
      <c r="G210" s="3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1"/>
      <c r="G211" s="3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1"/>
      <c r="G212" s="3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1"/>
      <c r="G213" s="3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1"/>
      <c r="G214" s="3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1"/>
      <c r="G215" s="3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1"/>
      <c r="G216" s="3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1"/>
      <c r="G217" s="3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1"/>
      <c r="G218" s="3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1"/>
      <c r="G219" s="3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1"/>
      <c r="G220" s="3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1"/>
      <c r="G221" s="3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1"/>
      <c r="G222" s="3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1"/>
      <c r="G223" s="3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1"/>
      <c r="G224" s="3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1"/>
      <c r="G225" s="3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1"/>
      <c r="G226" s="3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1"/>
      <c r="G227" s="3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1"/>
      <c r="G228" s="3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1"/>
      <c r="G229" s="3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1"/>
      <c r="G230" s="3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1"/>
      <c r="G231" s="3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1"/>
      <c r="G232" s="3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1"/>
      <c r="G233" s="3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1"/>
      <c r="G234" s="3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1"/>
      <c r="G235" s="3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1"/>
      <c r="G236" s="3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1"/>
      <c r="G237" s="3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1"/>
      <c r="G238" s="3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1"/>
      <c r="G239" s="3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1"/>
      <c r="G240" s="3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1"/>
      <c r="G241" s="3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1"/>
      <c r="G242" s="3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1"/>
      <c r="G243" s="3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1"/>
      <c r="G244" s="3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1"/>
      <c r="G245" s="3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1"/>
      <c r="G246" s="3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1"/>
      <c r="G247" s="3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1"/>
      <c r="G248" s="3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1"/>
      <c r="G249" s="3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1"/>
      <c r="G250" s="3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1"/>
      <c r="G251" s="3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1"/>
      <c r="G252" s="3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1"/>
      <c r="G253" s="3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1"/>
      <c r="G254" s="3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1"/>
      <c r="G255" s="3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1"/>
      <c r="G256" s="3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1"/>
      <c r="G257" s="3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1"/>
      <c r="G258" s="3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1"/>
      <c r="G259" s="3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1"/>
      <c r="G260" s="3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1"/>
      <c r="G261" s="3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1"/>
      <c r="G262" s="3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1"/>
      <c r="G263" s="3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1"/>
      <c r="G264" s="3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1"/>
      <c r="G265" s="3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1"/>
      <c r="G266" s="3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1"/>
      <c r="G267" s="3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1"/>
      <c r="G268" s="3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1"/>
      <c r="G269" s="3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1"/>
      <c r="G270" s="3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1"/>
      <c r="G271" s="3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1"/>
      <c r="G272" s="3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1"/>
      <c r="G273" s="3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1"/>
      <c r="G274" s="3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1"/>
      <c r="G275" s="3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1"/>
      <c r="G276" s="3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1"/>
      <c r="G277" s="3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1"/>
      <c r="G278" s="3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1"/>
      <c r="G279" s="3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1"/>
      <c r="G280" s="3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1"/>
      <c r="G281" s="3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1"/>
      <c r="G282" s="3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1"/>
      <c r="G283" s="3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1"/>
      <c r="G284" s="3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1"/>
      <c r="G285" s="3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1"/>
      <c r="G286" s="3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1"/>
      <c r="G287" s="3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1"/>
      <c r="G288" s="3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1"/>
      <c r="G289" s="3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1"/>
      <c r="G290" s="3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1"/>
      <c r="G291" s="3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1"/>
      <c r="G292" s="3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1"/>
      <c r="G293" s="3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1"/>
      <c r="G294" s="3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1"/>
      <c r="G295" s="3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1"/>
      <c r="G296" s="3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1"/>
      <c r="G297" s="3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1"/>
      <c r="G298" s="3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1"/>
      <c r="G299" s="3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1"/>
      <c r="G300" s="3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1"/>
      <c r="G301" s="3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1"/>
      <c r="G302" s="3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1"/>
      <c r="G303" s="3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1"/>
      <c r="G304" s="3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1"/>
      <c r="G305" s="3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1"/>
      <c r="G306" s="3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1"/>
      <c r="G307" s="3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1"/>
      <c r="G308" s="3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1"/>
      <c r="G309" s="3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1"/>
      <c r="G310" s="3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1"/>
      <c r="G311" s="3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1"/>
      <c r="G312" s="3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1"/>
      <c r="G313" s="3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1"/>
      <c r="G314" s="3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1"/>
      <c r="G315" s="3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1"/>
      <c r="G316" s="3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1"/>
      <c r="G317" s="3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1"/>
      <c r="G318" s="3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1"/>
      <c r="G319" s="3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1"/>
      <c r="G320" s="3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1"/>
      <c r="G321" s="3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1"/>
      <c r="G322" s="3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1"/>
      <c r="G323" s="3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1"/>
      <c r="G324" s="3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1"/>
      <c r="G325" s="3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1"/>
      <c r="G326" s="3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1"/>
      <c r="G327" s="3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1"/>
      <c r="G328" s="3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1"/>
      <c r="G329" s="3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1"/>
      <c r="G330" s="3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1"/>
      <c r="G331" s="3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1"/>
      <c r="G332" s="3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1"/>
      <c r="G333" s="3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1"/>
      <c r="G334" s="3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1"/>
      <c r="G335" s="3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1"/>
      <c r="G336" s="3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1"/>
      <c r="G337" s="3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1"/>
      <c r="G338" s="3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1"/>
      <c r="G339" s="3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1"/>
      <c r="G340" s="3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1"/>
      <c r="G341" s="3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1"/>
      <c r="G342" s="3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1"/>
      <c r="G343" s="3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1"/>
      <c r="G344" s="3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1"/>
      <c r="G345" s="3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1"/>
      <c r="G346" s="3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1"/>
      <c r="G347" s="3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1"/>
      <c r="G348" s="3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1"/>
      <c r="G349" s="3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1"/>
      <c r="G350" s="3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1"/>
      <c r="G351" s="3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1"/>
      <c r="G352" s="3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1"/>
      <c r="G353" s="3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1"/>
      <c r="G354" s="3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1"/>
      <c r="G355" s="3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1"/>
      <c r="G356" s="3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1"/>
      <c r="G357" s="3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1"/>
      <c r="G358" s="3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1"/>
      <c r="G359" s="3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1"/>
      <c r="G360" s="3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1"/>
      <c r="G361" s="3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1"/>
      <c r="G362" s="3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1"/>
      <c r="G363" s="3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1"/>
      <c r="G364" s="3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1"/>
      <c r="G365" s="3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1"/>
      <c r="G366" s="3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1"/>
      <c r="G367" s="3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1"/>
      <c r="G368" s="3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1"/>
      <c r="G369" s="3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1"/>
      <c r="G370" s="3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1"/>
      <c r="G371" s="3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1"/>
      <c r="G372" s="3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1"/>
      <c r="G373" s="3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1"/>
      <c r="G374" s="3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1"/>
      <c r="G375" s="3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1"/>
      <c r="G376" s="3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1"/>
      <c r="G377" s="3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1"/>
      <c r="G378" s="3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1"/>
      <c r="G379" s="3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1"/>
      <c r="G380" s="3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1"/>
      <c r="G381" s="3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1"/>
      <c r="G382" s="3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1"/>
      <c r="G383" s="3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1"/>
      <c r="G384" s="3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82" x14ac:dyDescent="0.15">
      <c r="A385" s="1"/>
      <c r="B385" s="1"/>
      <c r="C385" s="1"/>
      <c r="D385" s="1"/>
      <c r="E385" s="1"/>
      <c r="F385" s="31"/>
      <c r="G385" s="3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82" x14ac:dyDescent="0.15">
      <c r="A386" s="1"/>
      <c r="B386" s="1"/>
      <c r="C386" s="1"/>
      <c r="D386" s="1"/>
      <c r="E386" s="1"/>
      <c r="F386" s="31"/>
      <c r="G386" s="3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82" x14ac:dyDescent="0.15">
      <c r="A387" s="1"/>
      <c r="B387" s="1"/>
      <c r="C387" s="1"/>
      <c r="D387" s="1"/>
      <c r="E387" s="1"/>
      <c r="F387" s="31"/>
      <c r="G387" s="3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82" x14ac:dyDescent="0.15">
      <c r="A388" s="1"/>
      <c r="B388" s="1"/>
      <c r="C388" s="1"/>
      <c r="D388" s="1"/>
      <c r="E388" s="1"/>
      <c r="F388" s="31"/>
      <c r="G388" s="3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82" x14ac:dyDescent="0.15">
      <c r="A389" s="1"/>
      <c r="B389" s="1"/>
      <c r="C389" s="1"/>
      <c r="D389" s="1"/>
      <c r="E389" s="1"/>
      <c r="F389" s="31"/>
      <c r="G389" s="3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82" x14ac:dyDescent="0.15">
      <c r="A390" s="1"/>
      <c r="B390" s="1"/>
      <c r="C390" s="1"/>
      <c r="D390" s="1"/>
      <c r="E390" s="1"/>
      <c r="F390" s="31"/>
      <c r="G390" s="3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82" x14ac:dyDescent="0.15">
      <c r="A391" s="1"/>
      <c r="B391" s="1"/>
      <c r="C391" s="1"/>
      <c r="D391" s="1"/>
      <c r="E391" s="1"/>
      <c r="F391" s="31"/>
      <c r="G391" s="3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82" x14ac:dyDescent="0.15">
      <c r="A392" s="1"/>
      <c r="B392" s="1"/>
      <c r="C392" s="1"/>
      <c r="D392" s="1"/>
      <c r="E392" s="1"/>
      <c r="F392" s="31"/>
      <c r="G392" s="3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82" x14ac:dyDescent="0.15">
      <c r="A393" s="1"/>
      <c r="B393" s="1"/>
      <c r="C393" s="1"/>
      <c r="D393" s="1"/>
      <c r="E393" s="1"/>
      <c r="F393" s="31"/>
      <c r="G393" s="3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82" x14ac:dyDescent="0.15">
      <c r="A394" s="1"/>
      <c r="B394" s="1"/>
      <c r="C394" s="1"/>
      <c r="D394" s="1"/>
      <c r="E394" s="1"/>
      <c r="F394" s="31"/>
      <c r="G394" s="3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82" x14ac:dyDescent="0.15">
      <c r="A395" s="1"/>
      <c r="B395" s="1"/>
      <c r="C395" s="1"/>
      <c r="D395" s="1"/>
      <c r="E395" s="1"/>
      <c r="F395" s="31"/>
      <c r="G395" s="3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82" x14ac:dyDescent="0.15">
      <c r="A396" s="1"/>
      <c r="B396" s="1"/>
      <c r="C396" s="1"/>
      <c r="D396" s="1"/>
      <c r="E396" s="1"/>
      <c r="F396" s="31"/>
      <c r="G396" s="3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82" x14ac:dyDescent="0.15">
      <c r="A397" s="1"/>
      <c r="B397" s="1"/>
      <c r="C397" s="1"/>
      <c r="D397" s="1"/>
      <c r="E397" s="1"/>
      <c r="F397" s="31"/>
      <c r="G397" s="3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c r="IY397" s="1"/>
      <c r="IZ397" s="1"/>
      <c r="JA397" s="1"/>
      <c r="JB397" s="1"/>
      <c r="JC397" s="1"/>
      <c r="JD397" s="1"/>
      <c r="JE397" s="1"/>
      <c r="JF397" s="1"/>
      <c r="JG397" s="1"/>
      <c r="JH397" s="1"/>
      <c r="JI397" s="1"/>
      <c r="JJ397" s="1"/>
      <c r="JK397" s="1"/>
      <c r="JL397" s="1"/>
      <c r="JM397" s="1"/>
      <c r="JN397" s="1"/>
      <c r="JO397" s="1"/>
      <c r="JP397" s="1"/>
      <c r="JQ397" s="1"/>
      <c r="JR397" s="1"/>
      <c r="JS397" s="1"/>
      <c r="JT397" s="1"/>
      <c r="JU397" s="1"/>
      <c r="JV397" s="1"/>
    </row>
    <row r="398" spans="1:282" x14ac:dyDescent="0.15">
      <c r="A398" s="1"/>
      <c r="B398" s="1"/>
      <c r="C398" s="1"/>
      <c r="D398" s="1"/>
      <c r="E398" s="1"/>
      <c r="F398" s="31"/>
      <c r="G398" s="3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c r="IY398" s="1"/>
      <c r="IZ398" s="1"/>
      <c r="JA398" s="1"/>
      <c r="JB398" s="1"/>
      <c r="JC398" s="1"/>
      <c r="JD398" s="1"/>
      <c r="JE398" s="1"/>
      <c r="JF398" s="1"/>
      <c r="JG398" s="1"/>
      <c r="JH398" s="1"/>
      <c r="JI398" s="1"/>
      <c r="JJ398" s="1"/>
      <c r="JK398" s="1"/>
      <c r="JL398" s="1"/>
      <c r="JM398" s="1"/>
      <c r="JN398" s="1"/>
      <c r="JO398" s="1"/>
      <c r="JP398" s="1"/>
      <c r="JQ398" s="1"/>
      <c r="JR398" s="1"/>
      <c r="JS398" s="1"/>
      <c r="JT398" s="1"/>
      <c r="JU398" s="1"/>
      <c r="JV398" s="1"/>
    </row>
    <row r="399" spans="1:282" x14ac:dyDescent="0.15">
      <c r="A399" s="1"/>
      <c r="B399" s="1"/>
      <c r="C399" s="1"/>
      <c r="D399" s="1"/>
      <c r="E399" s="1"/>
      <c r="F399" s="31"/>
      <c r="G399" s="3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c r="JT399" s="1"/>
      <c r="JU399" s="1"/>
      <c r="JV399" s="1"/>
    </row>
    <row r="400" spans="1:282" x14ac:dyDescent="0.15">
      <c r="A400" s="1"/>
      <c r="B400" s="1"/>
      <c r="C400" s="1"/>
      <c r="D400" s="1"/>
      <c r="E400" s="1"/>
      <c r="F400" s="31"/>
      <c r="G400" s="3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c r="JT400" s="1"/>
      <c r="JU400" s="1"/>
      <c r="JV400" s="1"/>
    </row>
    <row r="401" spans="1:282" x14ac:dyDescent="0.15">
      <c r="A401" s="1"/>
      <c r="B401" s="1"/>
      <c r="C401" s="1"/>
      <c r="D401" s="1"/>
      <c r="E401" s="1"/>
      <c r="F401" s="31"/>
      <c r="G401" s="3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c r="JT401" s="1"/>
      <c r="JU401" s="1"/>
      <c r="JV401" s="1"/>
    </row>
    <row r="402" spans="1:282" x14ac:dyDescent="0.15">
      <c r="A402" s="1"/>
      <c r="B402" s="1"/>
      <c r="C402" s="1"/>
      <c r="D402" s="1"/>
      <c r="E402" s="1"/>
      <c r="F402" s="31"/>
      <c r="G402" s="3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row>
    <row r="403" spans="1:282" x14ac:dyDescent="0.15">
      <c r="A403" s="1"/>
      <c r="B403" s="1"/>
      <c r="C403" s="1"/>
      <c r="D403" s="1"/>
      <c r="E403" s="1"/>
      <c r="F403" s="31"/>
      <c r="G403" s="3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c r="JT403" s="1"/>
      <c r="JU403" s="1"/>
      <c r="JV403" s="1"/>
    </row>
    <row r="404" spans="1:282" x14ac:dyDescent="0.15">
      <c r="A404" s="1"/>
      <c r="B404" s="1"/>
      <c r="C404" s="1"/>
      <c r="D404" s="1"/>
      <c r="E404" s="1"/>
      <c r="F404" s="31"/>
      <c r="G404" s="3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row>
    <row r="405" spans="1:282" x14ac:dyDescent="0.15">
      <c r="A405" s="1"/>
      <c r="B405" s="1"/>
      <c r="C405" s="1"/>
      <c r="D405" s="1"/>
      <c r="E405" s="1"/>
      <c r="F405" s="31"/>
      <c r="G405" s="3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row>
    <row r="406" spans="1:282" x14ac:dyDescent="0.15">
      <c r="A406" s="1"/>
      <c r="B406" s="1"/>
      <c r="C406" s="1"/>
      <c r="D406" s="1"/>
      <c r="E406" s="1"/>
      <c r="F406" s="31"/>
      <c r="G406" s="3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c r="JT406" s="1"/>
      <c r="JU406" s="1"/>
      <c r="JV406" s="1"/>
    </row>
    <row r="407" spans="1:282" x14ac:dyDescent="0.15">
      <c r="A407" s="1"/>
      <c r="B407" s="1"/>
      <c r="C407" s="1"/>
      <c r="D407" s="1"/>
      <c r="E407" s="1"/>
      <c r="F407" s="31"/>
      <c r="G407" s="3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c r="JT407" s="1"/>
      <c r="JU407" s="1"/>
      <c r="JV407" s="1"/>
    </row>
    <row r="408" spans="1:282" x14ac:dyDescent="0.15">
      <c r="A408" s="1"/>
      <c r="B408" s="1"/>
      <c r="C408" s="1"/>
      <c r="D408" s="1"/>
      <c r="E408" s="1"/>
      <c r="F408" s="31"/>
      <c r="G408" s="3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c r="JT408" s="1"/>
      <c r="JU408" s="1"/>
      <c r="JV408" s="1"/>
    </row>
    <row r="409" spans="1:282" x14ac:dyDescent="0.15">
      <c r="A409" s="1"/>
      <c r="B409" s="1"/>
      <c r="C409" s="1"/>
      <c r="D409" s="1"/>
      <c r="E409" s="1"/>
      <c r="F409" s="31"/>
      <c r="G409" s="3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c r="JU409" s="1"/>
      <c r="JV409" s="1"/>
    </row>
    <row r="410" spans="1:282" x14ac:dyDescent="0.15">
      <c r="A410" s="1"/>
      <c r="B410" s="1"/>
      <c r="C410" s="1"/>
      <c r="D410" s="1"/>
      <c r="E410" s="1"/>
      <c r="F410" s="31"/>
      <c r="G410" s="3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c r="JT410" s="1"/>
      <c r="JU410" s="1"/>
      <c r="JV410" s="1"/>
    </row>
    <row r="411" spans="1:282" x14ac:dyDescent="0.15">
      <c r="A411" s="1"/>
      <c r="B411" s="1"/>
      <c r="C411" s="1"/>
      <c r="D411" s="1"/>
      <c r="E411" s="1"/>
      <c r="F411" s="31"/>
      <c r="G411" s="3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c r="JT411" s="1"/>
      <c r="JU411" s="1"/>
      <c r="JV411" s="1"/>
    </row>
    <row r="412" spans="1:282" x14ac:dyDescent="0.15">
      <c r="A412" s="1"/>
      <c r="B412" s="1"/>
      <c r="C412" s="1"/>
      <c r="D412" s="1"/>
      <c r="E412" s="1"/>
      <c r="F412" s="31"/>
      <c r="G412" s="3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c r="JT412" s="1"/>
      <c r="JU412" s="1"/>
      <c r="JV412" s="1"/>
    </row>
    <row r="413" spans="1:282" x14ac:dyDescent="0.15">
      <c r="A413" s="1"/>
      <c r="B413" s="1"/>
      <c r="C413" s="1"/>
      <c r="D413" s="1"/>
      <c r="E413" s="1"/>
      <c r="F413" s="31"/>
      <c r="G413" s="3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c r="JT413" s="1"/>
      <c r="JU413" s="1"/>
      <c r="JV413" s="1"/>
    </row>
    <row r="414" spans="1:282" x14ac:dyDescent="0.15">
      <c r="A414" s="1"/>
      <c r="B414" s="1"/>
      <c r="C414" s="1"/>
      <c r="D414" s="1"/>
      <c r="E414" s="1"/>
      <c r="F414" s="31"/>
      <c r="G414" s="3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row>
    <row r="415" spans="1:282" x14ac:dyDescent="0.15">
      <c r="A415" s="1"/>
      <c r="B415" s="1"/>
      <c r="C415" s="1"/>
      <c r="D415" s="1"/>
      <c r="E415" s="1"/>
      <c r="F415" s="31"/>
      <c r="G415" s="3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row>
    <row r="416" spans="1:282" x14ac:dyDescent="0.15">
      <c r="A416" s="1"/>
      <c r="B416" s="1"/>
      <c r="C416" s="1"/>
      <c r="D416" s="1"/>
      <c r="E416" s="1"/>
      <c r="F416" s="31"/>
      <c r="G416" s="3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c r="JT416" s="1"/>
      <c r="JU416" s="1"/>
      <c r="JV416" s="1"/>
    </row>
    <row r="417" spans="1:282" x14ac:dyDescent="0.15">
      <c r="A417" s="1"/>
      <c r="B417" s="1"/>
      <c r="C417" s="1"/>
      <c r="D417" s="1"/>
      <c r="E417" s="1"/>
      <c r="F417" s="31"/>
      <c r="G417" s="3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c r="JT417" s="1"/>
      <c r="JU417" s="1"/>
      <c r="JV417" s="1"/>
    </row>
    <row r="418" spans="1:282" x14ac:dyDescent="0.15">
      <c r="A418" s="1"/>
      <c r="B418" s="1"/>
      <c r="C418" s="1"/>
      <c r="D418" s="1"/>
      <c r="E418" s="1"/>
      <c r="F418" s="31"/>
      <c r="G418" s="3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row>
    <row r="419" spans="1:282" x14ac:dyDescent="0.15">
      <c r="A419" s="1"/>
      <c r="B419" s="1"/>
      <c r="C419" s="1"/>
      <c r="D419" s="1"/>
      <c r="E419" s="1"/>
      <c r="F419" s="31"/>
      <c r="G419" s="3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row>
    <row r="420" spans="1:282" x14ac:dyDescent="0.15">
      <c r="A420" s="1"/>
      <c r="B420" s="1"/>
      <c r="C420" s="1"/>
      <c r="D420" s="1"/>
      <c r="E420" s="1"/>
      <c r="F420" s="31"/>
      <c r="G420" s="3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1"/>
      <c r="G421" s="3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1"/>
      <c r="G422" s="3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1"/>
      <c r="G423" s="3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1"/>
      <c r="G424" s="3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1"/>
      <c r="G425" s="3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1"/>
      <c r="G426" s="3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1"/>
      <c r="G427" s="3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1"/>
      <c r="G428" s="3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1"/>
      <c r="G429" s="3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1"/>
      <c r="G430" s="3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1"/>
      <c r="G431" s="3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1"/>
      <c r="G432" s="3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1"/>
      <c r="G433" s="3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1"/>
      <c r="G434" s="3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1"/>
      <c r="G435" s="3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1"/>
      <c r="G436" s="3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1"/>
      <c r="G437" s="3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1"/>
      <c r="G438" s="3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1"/>
      <c r="G439" s="3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1"/>
      <c r="G440" s="3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1"/>
      <c r="G441" s="3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1"/>
      <c r="G442" s="3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1"/>
      <c r="G443" s="3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1"/>
      <c r="G444" s="3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1"/>
      <c r="G445" s="3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1"/>
      <c r="G446" s="3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1"/>
      <c r="G447" s="3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1"/>
      <c r="G448" s="3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1"/>
      <c r="G449" s="3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1"/>
      <c r="G450" s="3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1"/>
      <c r="G451" s="3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1"/>
      <c r="G452" s="3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1"/>
      <c r="G453" s="3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1"/>
      <c r="G454" s="3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1"/>
      <c r="G455" s="3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1"/>
      <c r="G456" s="3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1"/>
      <c r="G457" s="3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1"/>
      <c r="G458" s="3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1"/>
      <c r="G459" s="3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1"/>
      <c r="G460" s="3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1"/>
      <c r="G461" s="3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1"/>
      <c r="G462" s="3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1"/>
      <c r="G463" s="3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1"/>
      <c r="G464" s="3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1"/>
      <c r="G465" s="3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1"/>
      <c r="G466" s="3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1"/>
      <c r="G467" s="3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1"/>
      <c r="G468" s="3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1"/>
      <c r="G469" s="3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1"/>
      <c r="G470" s="3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1"/>
      <c r="G471" s="3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1"/>
      <c r="G472" s="3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1"/>
      <c r="G473" s="3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1"/>
      <c r="G474" s="3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1"/>
      <c r="G475" s="3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1"/>
      <c r="G476" s="3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1"/>
      <c r="G477" s="3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1"/>
      <c r="G478" s="3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1"/>
      <c r="G479" s="3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1"/>
      <c r="G480" s="3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1"/>
      <c r="G481" s="3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1"/>
      <c r="G482" s="3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1"/>
      <c r="G483" s="3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1"/>
      <c r="G484" s="3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1"/>
      <c r="G485" s="3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1"/>
      <c r="G486" s="3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1"/>
      <c r="G487" s="3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1"/>
      <c r="G488" s="3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1"/>
      <c r="G489" s="3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1"/>
      <c r="G490" s="3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1"/>
      <c r="G491" s="3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1"/>
      <c r="G492" s="3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1"/>
      <c r="G493" s="3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1"/>
      <c r="G494" s="3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1"/>
      <c r="G495" s="3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1"/>
      <c r="G496" s="3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1"/>
      <c r="G497" s="3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1"/>
      <c r="G498" s="3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1"/>
      <c r="G499" s="3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1"/>
      <c r="G500" s="3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1"/>
      <c r="G501" s="3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1"/>
      <c r="G502" s="3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1"/>
      <c r="G503" s="3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1"/>
      <c r="G504" s="3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1"/>
      <c r="G505" s="3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1"/>
      <c r="G506" s="3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1"/>
      <c r="G507" s="3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1"/>
      <c r="G508" s="3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1"/>
      <c r="G509" s="3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1"/>
      <c r="G510" s="3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1"/>
      <c r="G511" s="3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1"/>
      <c r="G512" s="3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1"/>
      <c r="G513" s="3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1"/>
      <c r="G514" s="3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1"/>
      <c r="G515" s="3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1"/>
      <c r="G516" s="3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1"/>
      <c r="G517" s="3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1"/>
      <c r="G518" s="3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1"/>
      <c r="G519" s="3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1"/>
      <c r="G520" s="3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1"/>
      <c r="G521" s="3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1"/>
      <c r="G522" s="3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1"/>
      <c r="G523" s="3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1"/>
      <c r="G524" s="3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1"/>
      <c r="G525" s="3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1"/>
      <c r="G526" s="3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1"/>
      <c r="G527" s="3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1"/>
      <c r="G528" s="3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1"/>
      <c r="G529" s="3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1"/>
      <c r="G530" s="3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1"/>
      <c r="G531" s="3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1"/>
      <c r="G532" s="3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1"/>
      <c r="G533" s="3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1"/>
      <c r="G534" s="3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1"/>
      <c r="G535" s="3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1"/>
      <c r="G536" s="3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1"/>
      <c r="G537" s="3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1"/>
      <c r="G538" s="3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1"/>
      <c r="G539" s="3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1"/>
      <c r="G540" s="3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1"/>
      <c r="G541" s="3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1"/>
      <c r="G542" s="3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1"/>
      <c r="G543" s="3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1"/>
      <c r="G544" s="3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1"/>
      <c r="G545" s="3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1"/>
      <c r="G546" s="3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1"/>
      <c r="G547" s="3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1"/>
      <c r="G548" s="3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1"/>
      <c r="G549" s="3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1"/>
      <c r="G550" s="3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1"/>
      <c r="G551" s="3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1"/>
      <c r="G552" s="3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1"/>
      <c r="G553" s="3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1"/>
      <c r="G554" s="3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1"/>
      <c r="G555" s="3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1"/>
      <c r="G556" s="3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1"/>
      <c r="G557" s="3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1"/>
      <c r="G558" s="3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1"/>
      <c r="G559" s="3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1"/>
      <c r="G560" s="3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1"/>
      <c r="G561" s="3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1"/>
      <c r="G562" s="3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1"/>
      <c r="G563" s="3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1"/>
      <c r="G564" s="3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1"/>
      <c r="G565" s="3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1"/>
      <c r="G566" s="3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1"/>
      <c r="G567" s="3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1"/>
      <c r="G568" s="3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1"/>
      <c r="G569" s="3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1"/>
      <c r="G570" s="3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1"/>
      <c r="G571" s="3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1"/>
      <c r="G572" s="3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1"/>
      <c r="G573" s="3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1"/>
      <c r="G574" s="3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1"/>
      <c r="G575" s="3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1"/>
      <c r="G576" s="3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1"/>
      <c r="G577" s="3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1"/>
      <c r="G578" s="3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1"/>
      <c r="G579" s="3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1"/>
      <c r="G580" s="3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1"/>
      <c r="G581" s="3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1"/>
      <c r="G582" s="3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1"/>
      <c r="G583" s="3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1"/>
      <c r="G584" s="3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1"/>
      <c r="G585" s="3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1"/>
      <c r="G586" s="3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1"/>
      <c r="G587" s="3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1"/>
      <c r="G588" s="3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1"/>
      <c r="G589" s="3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1"/>
      <c r="G590" s="3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1"/>
      <c r="G591" s="3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1"/>
      <c r="G592" s="3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1"/>
      <c r="G593" s="3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1"/>
      <c r="G594" s="3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1"/>
      <c r="G595" s="3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1"/>
      <c r="G596" s="3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1"/>
      <c r="G597" s="3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1"/>
      <c r="G598" s="3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1"/>
      <c r="G599" s="3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1"/>
      <c r="G600" s="3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1"/>
      <c r="G601" s="3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1"/>
      <c r="G602" s="3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1"/>
      <c r="G603" s="3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1"/>
      <c r="G604" s="3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1"/>
      <c r="G605" s="3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1"/>
      <c r="G606" s="3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1"/>
      <c r="G607" s="3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1"/>
      <c r="G608" s="3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1"/>
      <c r="G609" s="3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1"/>
      <c r="G610" s="3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1"/>
      <c r="G611" s="3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1"/>
      <c r="G612" s="3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1"/>
      <c r="G613" s="3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1"/>
      <c r="G614" s="3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1"/>
      <c r="G615" s="3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1"/>
      <c r="G616" s="3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1"/>
      <c r="G617" s="3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1"/>
      <c r="G618" s="3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1"/>
      <c r="G619" s="3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1"/>
      <c r="G620" s="3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1"/>
      <c r="G621" s="3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1"/>
      <c r="G622" s="3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1"/>
      <c r="G623" s="3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1"/>
      <c r="G624" s="3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1"/>
      <c r="G625" s="3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1"/>
      <c r="G626" s="3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1"/>
      <c r="G627" s="3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1"/>
      <c r="G628" s="3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1"/>
      <c r="G629" s="3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1"/>
      <c r="G630" s="3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1"/>
      <c r="G631" s="3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1"/>
      <c r="G632" s="3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1"/>
      <c r="G633" s="3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1"/>
      <c r="G634" s="3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1"/>
      <c r="G635" s="3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1"/>
      <c r="G636" s="3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1"/>
      <c r="G637" s="3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1"/>
      <c r="G638" s="3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1"/>
      <c r="G639" s="3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1"/>
      <c r="G640" s="3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1"/>
      <c r="G641" s="3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1"/>
      <c r="G642" s="3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1"/>
      <c r="G643" s="3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1"/>
      <c r="G644" s="3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1"/>
      <c r="G645" s="3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1"/>
      <c r="G646" s="3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1"/>
      <c r="G647" s="3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1"/>
      <c r="G648" s="3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1"/>
      <c r="G649" s="3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1"/>
      <c r="G650" s="3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1"/>
      <c r="G651" s="3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1"/>
      <c r="G652" s="3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1"/>
      <c r="G653" s="3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1"/>
      <c r="G654" s="3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1"/>
      <c r="G655" s="3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1"/>
      <c r="G656" s="3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1"/>
      <c r="G657" s="3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1"/>
      <c r="G658" s="3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1"/>
      <c r="G659" s="3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1"/>
      <c r="G660" s="3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1"/>
      <c r="G661" s="3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1"/>
      <c r="G662" s="3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1"/>
      <c r="G663" s="3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1"/>
      <c r="G664" s="3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1"/>
      <c r="G665" s="3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1"/>
      <c r="G666" s="3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1"/>
      <c r="G667" s="3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1"/>
      <c r="G668" s="3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1"/>
      <c r="G669" s="3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1"/>
      <c r="G670" s="3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1"/>
      <c r="G671" s="3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1"/>
      <c r="G672" s="3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1"/>
      <c r="G673" s="3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1"/>
      <c r="G674" s="3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1"/>
      <c r="G675" s="3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1"/>
      <c r="G676" s="3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1"/>
      <c r="G677" s="3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1"/>
      <c r="G678" s="3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1"/>
      <c r="G679" s="3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1"/>
      <c r="G680" s="3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1"/>
      <c r="G681" s="3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1"/>
      <c r="G682" s="3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1"/>
      <c r="G683" s="3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1"/>
      <c r="G684" s="3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1"/>
      <c r="G685" s="3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1"/>
      <c r="G686" s="3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1"/>
      <c r="G687" s="3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1"/>
      <c r="G688" s="3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1"/>
      <c r="G689" s="3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1"/>
      <c r="G690" s="3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1"/>
      <c r="G691" s="3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1"/>
      <c r="G692" s="3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1"/>
      <c r="G693" s="3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1"/>
      <c r="G694" s="3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1"/>
      <c r="G695" s="3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1"/>
      <c r="G696" s="3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1"/>
      <c r="G697" s="3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1"/>
      <c r="G698" s="3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1"/>
      <c r="G699" s="3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1"/>
      <c r="G700" s="3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1"/>
      <c r="G701" s="3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1"/>
      <c r="G702" s="3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1"/>
      <c r="G703" s="3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1"/>
      <c r="G704" s="3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1"/>
      <c r="G705" s="3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1"/>
      <c r="G706" s="3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1"/>
      <c r="G707" s="3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1"/>
      <c r="G708" s="3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1"/>
      <c r="G709" s="3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1"/>
      <c r="G710" s="3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1"/>
      <c r="G711" s="3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1"/>
      <c r="G712" s="3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1"/>
      <c r="G713" s="3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1"/>
      <c r="G714" s="3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1"/>
      <c r="G715" s="3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1"/>
      <c r="G716" s="3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1"/>
      <c r="G717" s="3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1"/>
      <c r="G718" s="3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1"/>
      <c r="G719" s="3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1"/>
      <c r="G720" s="3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1"/>
      <c r="G721" s="3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1"/>
      <c r="G722" s="3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1"/>
      <c r="G723" s="3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1"/>
      <c r="G724" s="3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1"/>
      <c r="G725" s="3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1"/>
      <c r="G726" s="3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1"/>
      <c r="G727" s="3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1"/>
      <c r="G728" s="3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1"/>
      <c r="G729" s="3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1"/>
      <c r="G730" s="3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1"/>
      <c r="G731" s="3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1"/>
      <c r="G732" s="3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1"/>
      <c r="G733" s="3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1"/>
      <c r="G734" s="3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1"/>
      <c r="G735" s="3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1"/>
      <c r="G736" s="3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1"/>
      <c r="G737" s="3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1"/>
      <c r="G738" s="3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1"/>
      <c r="G739" s="3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1"/>
      <c r="G740" s="3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1"/>
      <c r="G741" s="3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1"/>
      <c r="G742" s="3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1"/>
      <c r="G743" s="3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1"/>
      <c r="G744" s="3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1"/>
      <c r="G745" s="3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1"/>
      <c r="G746" s="3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1"/>
      <c r="G747" s="3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1"/>
      <c r="G748" s="3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1"/>
      <c r="G749" s="3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1"/>
      <c r="G750" s="3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1"/>
      <c r="G751" s="3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1"/>
      <c r="G752" s="3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1"/>
      <c r="G753" s="3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1"/>
      <c r="G754" s="3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1"/>
      <c r="G755" s="3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1"/>
      <c r="G756" s="3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1"/>
      <c r="G757" s="3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1"/>
      <c r="G758" s="3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1"/>
      <c r="G759" s="3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1"/>
      <c r="G760" s="3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1"/>
      <c r="G761" s="3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1"/>
      <c r="G762" s="3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1"/>
      <c r="G763" s="3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1"/>
      <c r="G764" s="3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1"/>
      <c r="G765" s="3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1"/>
      <c r="G766" s="3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1"/>
      <c r="G767" s="3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1"/>
      <c r="G768" s="3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1"/>
      <c r="G769" s="3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1"/>
      <c r="G770" s="3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1"/>
      <c r="G771" s="3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1"/>
      <c r="G772" s="3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1"/>
      <c r="G773" s="3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1"/>
      <c r="G774" s="3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1"/>
      <c r="G775" s="3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1"/>
      <c r="G776" s="3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1"/>
      <c r="G777" s="3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1"/>
      <c r="G778" s="3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1"/>
      <c r="G779" s="3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1"/>
      <c r="G780" s="3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1"/>
      <c r="G781" s="3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1"/>
      <c r="G782" s="3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1"/>
      <c r="G783" s="3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1"/>
      <c r="G784" s="3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1"/>
      <c r="G785" s="3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1"/>
      <c r="G786" s="3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1"/>
      <c r="G787" s="3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1"/>
      <c r="G788" s="3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1"/>
      <c r="G789" s="3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1"/>
      <c r="G790" s="3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1"/>
      <c r="G791" s="3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1"/>
      <c r="G792" s="3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1"/>
      <c r="G793" s="3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1"/>
      <c r="G794" s="3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1"/>
      <c r="G795" s="3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1"/>
      <c r="G796" s="3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1"/>
      <c r="G797" s="3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1"/>
      <c r="G798" s="3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1"/>
      <c r="G799" s="3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1"/>
      <c r="G800" s="3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1"/>
      <c r="G801" s="3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1"/>
      <c r="G802" s="3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1"/>
      <c r="G803" s="3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1"/>
      <c r="G804" s="3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1"/>
      <c r="G805" s="3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1"/>
      <c r="G806" s="3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1"/>
      <c r="G807" s="3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1"/>
      <c r="G808" s="3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1"/>
      <c r="G809" s="3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1"/>
      <c r="G810" s="3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1"/>
      <c r="G811" s="3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1"/>
      <c r="G812" s="3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1"/>
      <c r="G813" s="3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1"/>
      <c r="G814" s="3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1"/>
      <c r="G815" s="3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1"/>
      <c r="G816" s="3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1"/>
      <c r="G817" s="3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1"/>
      <c r="G818" s="3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1"/>
      <c r="G819" s="3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1"/>
      <c r="G820" s="3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1"/>
      <c r="G821" s="3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1"/>
      <c r="G822" s="3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1"/>
      <c r="G823" s="3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1"/>
      <c r="G824" s="3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1"/>
      <c r="G825" s="3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1"/>
      <c r="G826" s="3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1"/>
      <c r="G827" s="3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1"/>
      <c r="G828" s="3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1"/>
      <c r="G829" s="3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1"/>
      <c r="G830" s="3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1"/>
      <c r="G831" s="3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1"/>
      <c r="G832" s="3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1"/>
      <c r="G833" s="3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1"/>
      <c r="G834" s="3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1"/>
      <c r="G835" s="3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1"/>
      <c r="G836" s="3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1"/>
      <c r="G837" s="3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1"/>
      <c r="G838" s="3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1"/>
      <c r="G839" s="3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1"/>
      <c r="G840" s="3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1"/>
      <c r="G841" s="3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1"/>
      <c r="G842" s="3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1"/>
      <c r="G843" s="3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1"/>
      <c r="G844" s="3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1"/>
      <c r="G845" s="3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1"/>
      <c r="G846" s="3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1"/>
      <c r="G847" s="3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1"/>
      <c r="G848" s="3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1"/>
      <c r="G849" s="3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1"/>
      <c r="G850" s="3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1"/>
      <c r="G851" s="3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1"/>
      <c r="G852" s="3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1"/>
      <c r="G853" s="3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1"/>
      <c r="G854" s="3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1"/>
      <c r="G855" s="3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1"/>
      <c r="G856" s="3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1"/>
      <c r="G857" s="3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1"/>
      <c r="G858" s="3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1"/>
      <c r="G859" s="3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1"/>
      <c r="G860" s="3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1"/>
      <c r="G861" s="3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1"/>
      <c r="G862" s="3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1"/>
      <c r="G863" s="3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1"/>
      <c r="G864" s="3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1"/>
      <c r="G865" s="3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1"/>
      <c r="G866" s="3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1"/>
      <c r="G867" s="3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1"/>
      <c r="G868" s="3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1"/>
      <c r="G869" s="3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1"/>
      <c r="G870" s="3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1"/>
      <c r="G871" s="3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1"/>
      <c r="G872" s="3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1"/>
      <c r="G873" s="3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1"/>
      <c r="G874" s="3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1"/>
      <c r="G875" s="3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1"/>
      <c r="G876" s="3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1"/>
      <c r="G877" s="3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1"/>
      <c r="G878" s="3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1"/>
      <c r="G879" s="3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1"/>
      <c r="G880" s="3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1"/>
      <c r="G881" s="3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1"/>
      <c r="G882" s="3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1"/>
      <c r="G883" s="3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1"/>
      <c r="G884" s="3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1"/>
      <c r="G885" s="3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1"/>
      <c r="G886" s="3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1"/>
      <c r="G887" s="3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1"/>
      <c r="G888" s="3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1"/>
      <c r="G889" s="3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1"/>
      <c r="G890" s="3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1"/>
      <c r="G891" s="3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1"/>
      <c r="G892" s="3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1"/>
      <c r="G893" s="3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1"/>
      <c r="G894" s="3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1"/>
      <c r="G895" s="3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1"/>
      <c r="G896" s="3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1"/>
      <c r="G897" s="3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1"/>
      <c r="G898" s="3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1"/>
      <c r="G899" s="3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1"/>
      <c r="G900" s="3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1"/>
      <c r="G901" s="3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1"/>
      <c r="G902" s="3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1"/>
      <c r="G903" s="3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1"/>
      <c r="G904" s="3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1"/>
      <c r="G905" s="3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1"/>
      <c r="G906" s="3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1"/>
      <c r="G907" s="3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1"/>
      <c r="G908" s="3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1"/>
      <c r="G909" s="3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1"/>
      <c r="G910" s="3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1"/>
      <c r="G911" s="3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1"/>
      <c r="G912" s="3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1"/>
      <c r="G913" s="3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1"/>
      <c r="G914" s="3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1"/>
      <c r="G915" s="3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1"/>
      <c r="G916" s="3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1"/>
      <c r="G917" s="3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1"/>
      <c r="G918" s="3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1"/>
      <c r="G919" s="3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1"/>
      <c r="G920" s="3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1"/>
      <c r="G921" s="3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1"/>
      <c r="G922" s="3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1"/>
      <c r="G923" s="3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1"/>
      <c r="G924" s="3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1"/>
      <c r="G925" s="3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1"/>
      <c r="G926" s="3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1"/>
      <c r="G927" s="3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1"/>
      <c r="G928" s="3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1"/>
      <c r="G929" s="3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1"/>
      <c r="G930" s="3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1"/>
      <c r="G931" s="3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1"/>
      <c r="G932" s="3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1"/>
      <c r="G933" s="3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1"/>
      <c r="G934" s="3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1"/>
      <c r="G935" s="3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1"/>
      <c r="G936" s="3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1"/>
      <c r="G937" s="3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1"/>
      <c r="G938" s="3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1"/>
      <c r="G939" s="3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1"/>
      <c r="G940" s="3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1"/>
      <c r="G941" s="3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1"/>
      <c r="G942" s="3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1"/>
      <c r="G943" s="3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1"/>
      <c r="G944" s="3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1"/>
      <c r="G945" s="3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1"/>
      <c r="G946" s="3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1"/>
      <c r="G947" s="3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1"/>
      <c r="G948" s="3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1"/>
      <c r="G949" s="3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1"/>
      <c r="G950" s="3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1"/>
      <c r="G951" s="3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1"/>
      <c r="G952" s="3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1"/>
      <c r="G953" s="3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1"/>
      <c r="G954" s="3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1"/>
      <c r="G955" s="3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1"/>
      <c r="G956" s="3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1"/>
      <c r="G957" s="3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1"/>
      <c r="G958" s="3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1"/>
      <c r="G959" s="3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1"/>
      <c r="G960" s="3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1"/>
      <c r="G961" s="3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1"/>
      <c r="G962" s="3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1"/>
      <c r="G963" s="3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1"/>
      <c r="G964" s="3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1"/>
      <c r="G965" s="3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1"/>
      <c r="G966" s="3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1"/>
      <c r="G967" s="3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1"/>
      <c r="G968" s="3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1"/>
      <c r="G969" s="3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1"/>
      <c r="G970" s="3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1"/>
      <c r="G971" s="3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1"/>
      <c r="G972" s="3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1"/>
      <c r="G973" s="3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1"/>
      <c r="G974" s="3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1"/>
      <c r="G975" s="3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1"/>
      <c r="G976" s="3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1"/>
      <c r="G977" s="3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1"/>
      <c r="G978" s="3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1"/>
      <c r="G979" s="3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1"/>
      <c r="G980" s="3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1"/>
      <c r="G981" s="3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1"/>
      <c r="G982" s="3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1"/>
      <c r="G983" s="3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1"/>
      <c r="G984" s="3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1"/>
      <c r="G985" s="3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1"/>
      <c r="G986" s="3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1"/>
      <c r="G987" s="3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1"/>
      <c r="G988" s="3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1"/>
      <c r="G989" s="3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1"/>
      <c r="G990" s="3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1"/>
      <c r="G991" s="3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1"/>
      <c r="G992" s="3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1"/>
      <c r="G993" s="3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1"/>
      <c r="G994" s="3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1"/>
      <c r="G995" s="3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1"/>
      <c r="G996" s="3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1"/>
      <c r="G997" s="3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1"/>
      <c r="G998" s="3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1"/>
      <c r="G999" s="3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1"/>
      <c r="G1000" s="3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1"/>
      <c r="G1001" s="3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1"/>
      <c r="G1002" s="3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1"/>
      <c r="G1003" s="3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1"/>
      <c r="G1004" s="3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1"/>
      <c r="G1005" s="3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1"/>
      <c r="G1006" s="3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1"/>
      <c r="G1007" s="3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1"/>
      <c r="G1008" s="3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1"/>
      <c r="G1009" s="3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1"/>
      <c r="G1010" s="3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1"/>
      <c r="G1011" s="3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1"/>
      <c r="G1012" s="3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1"/>
      <c r="G1013" s="3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1"/>
      <c r="G1014" s="3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1"/>
      <c r="G1015" s="3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1"/>
      <c r="G1016" s="3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1"/>
      <c r="G1017" s="3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1"/>
      <c r="G1018" s="3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1"/>
      <c r="G1019" s="3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1"/>
      <c r="G1020" s="3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1"/>
      <c r="G1021" s="3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1"/>
      <c r="G1022" s="3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1"/>
      <c r="G1023" s="3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1"/>
      <c r="G1024" s="3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1"/>
      <c r="G1025" s="3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1"/>
      <c r="G1026" s="3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1"/>
      <c r="G1027" s="3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1"/>
      <c r="G1028" s="3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1"/>
      <c r="G1029" s="3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1"/>
      <c r="G1030" s="3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1"/>
      <c r="G1031" s="3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1"/>
      <c r="G1032" s="3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1"/>
      <c r="G1033" s="3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1"/>
      <c r="G1034" s="3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1"/>
      <c r="G1035" s="3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1"/>
      <c r="G1036" s="3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1"/>
      <c r="G1037" s="3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1"/>
      <c r="G1038" s="3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1"/>
      <c r="G1039" s="3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1"/>
      <c r="G1040" s="3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1"/>
      <c r="G1041" s="3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1"/>
      <c r="G1042" s="3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1"/>
      <c r="G1043" s="3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1"/>
      <c r="G1044" s="3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1"/>
      <c r="G1045" s="3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1"/>
      <c r="G1046" s="3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1"/>
      <c r="G1047" s="3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1"/>
      <c r="G1048" s="3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1"/>
      <c r="G1049" s="3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1"/>
      <c r="G1050" s="3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1"/>
      <c r="G1051" s="3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1"/>
      <c r="G1052" s="3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1"/>
      <c r="G1053" s="3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1"/>
      <c r="G1054" s="3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1"/>
      <c r="G1055" s="3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1"/>
      <c r="G1056" s="3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1"/>
      <c r="G1057" s="3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1"/>
      <c r="G1058" s="3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1"/>
      <c r="G1059" s="3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1"/>
      <c r="G1060" s="3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1"/>
      <c r="G1061" s="3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1"/>
      <c r="G1062" s="3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1"/>
      <c r="G1063" s="3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1"/>
      <c r="G1064" s="3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1"/>
      <c r="G1065" s="3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1"/>
      <c r="G1066" s="3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1"/>
      <c r="G1067" s="3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1"/>
      <c r="G1068" s="3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1"/>
      <c r="G1069" s="3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1"/>
      <c r="G1070" s="3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1"/>
      <c r="G1071" s="3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1"/>
      <c r="G1072" s="3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1"/>
      <c r="G1073" s="3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1"/>
      <c r="G1074" s="3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1"/>
      <c r="G1075" s="3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1"/>
      <c r="G1076" s="3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1"/>
      <c r="G1077" s="3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1"/>
      <c r="G1078" s="31"/>
      <c r="H1078" s="1"/>
      <c r="I1078" s="1"/>
      <c r="J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1"/>
      <c r="G1079" s="31"/>
      <c r="H1079" s="1"/>
      <c r="I1079" s="1"/>
      <c r="J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1"/>
      <c r="G1080" s="31"/>
      <c r="H1080" s="1"/>
      <c r="I1080" s="1"/>
      <c r="J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1"/>
      <c r="G1081" s="31"/>
      <c r="H1081" s="1"/>
      <c r="I1081" s="1"/>
      <c r="J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1"/>
      <c r="G1082" s="31"/>
      <c r="H1082" s="1"/>
      <c r="I1082" s="1"/>
      <c r="J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1"/>
      <c r="G1083" s="31"/>
      <c r="H1083" s="1"/>
      <c r="I1083" s="1"/>
      <c r="J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1"/>
      <c r="G1084" s="31"/>
      <c r="H1084" s="1"/>
      <c r="I1084" s="1"/>
      <c r="J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1"/>
      <c r="G1085" s="31"/>
      <c r="H1085" s="1"/>
      <c r="I1085" s="1"/>
      <c r="J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1"/>
      <c r="G1086" s="31"/>
      <c r="H1086" s="1"/>
      <c r="I1086" s="1"/>
      <c r="J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sheetData>
  <phoneticPr fontId="3" type="noConversion"/>
  <conditionalFormatting sqref="D8:D40">
    <cfRule type="containsText" dxfId="3" priority="13" operator="containsText" text="On Hold">
      <formula>NOT(ISERROR(SEARCH("On Hold",D8)))</formula>
    </cfRule>
    <cfRule type="containsText" dxfId="2" priority="14" operator="containsText" text="Complete">
      <formula>NOT(ISERROR(SEARCH("Complete",D8)))</formula>
    </cfRule>
    <cfRule type="containsText" dxfId="1" priority="15" operator="containsText" text="In Progress">
      <formula>NOT(ISERROR(SEARCH("In Progress",D8)))</formula>
    </cfRule>
    <cfRule type="containsText" dxfId="0" priority="16" operator="containsText" text="Not Started">
      <formula>NOT(ISERROR(SEARCH("Not Started",D8)))</formula>
    </cfRule>
  </conditionalFormatting>
  <dataValidations count="2">
    <dataValidation type="list" allowBlank="1" showInputMessage="1" showErrorMessage="1" sqref="D27:D40 D8:D17" xr:uid="{FAB73A35-6353-0041-8874-8B5EFE2E105A}">
      <formula1>#REF!</formula1>
    </dataValidation>
    <dataValidation type="list" allowBlank="1" showInputMessage="1" showErrorMessage="1" sqref="D18:D26" xr:uid="{AE368B8B-2A48-EF4E-8DD9-7C6FDD37D06A}">
      <formula1>$K$8:$K$10</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5" customWidth="1"/>
    <col min="2" max="2" width="88.33203125" style="5" customWidth="1"/>
    <col min="3" max="16384" width="10.83203125" style="5"/>
  </cols>
  <sheetData>
    <row r="2" spans="2:2" ht="102" x14ac:dyDescent="0.2">
      <c r="B2" s="4" t="s">
        <v>1</v>
      </c>
    </row>
    <row r="4" spans="2:2" x14ac:dyDescent="0.2">
      <c r="B4" s="5" t="s">
        <v>16</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Volcanoes</vt:lpstr>
      <vt:lpstr>-Disclaimer-</vt:lpstr>
      <vt:lpstr>Volcanoes!Print_Area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Andrea Edwards</cp:lastModifiedBy>
  <dcterms:created xsi:type="dcterms:W3CDTF">2015-02-24T20:54:23Z</dcterms:created>
  <dcterms:modified xsi:type="dcterms:W3CDTF">2025-12-04T04:26:48Z</dcterms:modified>
</cp:coreProperties>
</file>